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el\OneDrive\Desktop\"/>
    </mc:Choice>
  </mc:AlternateContent>
  <xr:revisionPtr revIDLastSave="0" documentId="13_ncr:1_{EC4EDE55-3F8C-4FA0-A87C-E0A1793832C5}" xr6:coauthVersionLast="47" xr6:coauthVersionMax="47" xr10:uidLastSave="{00000000-0000-0000-0000-000000000000}"/>
  <bookViews>
    <workbookView xWindow="-120" yWindow="-120" windowWidth="29040" windowHeight="15720" firstSheet="1" activeTab="3" xr2:uid="{B8EF8191-E857-4727-A73F-34F9264FDB1F}"/>
  </bookViews>
  <sheets>
    <sheet name="Hoja1" sheetId="1" r:id="rId1"/>
    <sheet name="LABORATORIO" sheetId="2" r:id="rId2"/>
    <sheet name="MOTORES" sheetId="3" r:id="rId3"/>
    <sheet name="AUTOMATIZACIÓN" sheetId="5" r:id="rId4"/>
    <sheet name="SUMINISTRO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" l="1"/>
  <c r="G52" i="6"/>
  <c r="D52" i="6"/>
  <c r="C52" i="6"/>
  <c r="E52" i="6" s="1"/>
  <c r="H52" i="6" s="1"/>
  <c r="I52" i="6" s="1"/>
  <c r="J52" i="6" s="1"/>
  <c r="G51" i="6"/>
  <c r="E51" i="6"/>
  <c r="D51" i="6"/>
  <c r="C51" i="6"/>
  <c r="G50" i="6"/>
  <c r="D50" i="6"/>
  <c r="C50" i="6"/>
  <c r="E50" i="6" s="1"/>
  <c r="H50" i="6" s="1"/>
  <c r="I50" i="6" s="1"/>
  <c r="J50" i="6" s="1"/>
  <c r="H49" i="6"/>
  <c r="I49" i="6" s="1"/>
  <c r="J49" i="6" s="1"/>
  <c r="G49" i="6"/>
  <c r="D49" i="6"/>
  <c r="C49" i="6"/>
  <c r="E49" i="6" s="1"/>
  <c r="G48" i="6"/>
  <c r="D48" i="6"/>
  <c r="C48" i="6"/>
  <c r="E48" i="6" s="1"/>
  <c r="H48" i="6" s="1"/>
  <c r="I48" i="6" s="1"/>
  <c r="J48" i="6" s="1"/>
  <c r="G47" i="6"/>
  <c r="E47" i="6"/>
  <c r="H47" i="6" s="1"/>
  <c r="I47" i="6" s="1"/>
  <c r="J47" i="6" s="1"/>
  <c r="D47" i="6"/>
  <c r="C47" i="6"/>
  <c r="G46" i="6"/>
  <c r="D46" i="6"/>
  <c r="E46" i="6" s="1"/>
  <c r="H46" i="6" s="1"/>
  <c r="I46" i="6" s="1"/>
  <c r="J46" i="6" s="1"/>
  <c r="C46" i="6"/>
  <c r="G45" i="6"/>
  <c r="D45" i="6"/>
  <c r="C45" i="6"/>
  <c r="E45" i="6" s="1"/>
  <c r="H45" i="6" s="1"/>
  <c r="I45" i="6" s="1"/>
  <c r="J45" i="6" s="1"/>
  <c r="G44" i="6"/>
  <c r="H44" i="6" s="1"/>
  <c r="I44" i="6" s="1"/>
  <c r="J44" i="6" s="1"/>
  <c r="E44" i="6"/>
  <c r="D44" i="6"/>
  <c r="C44" i="6"/>
  <c r="G43" i="6"/>
  <c r="D43" i="6"/>
  <c r="C43" i="6"/>
  <c r="E43" i="6" s="1"/>
  <c r="H43" i="6" s="1"/>
  <c r="I43" i="6" s="1"/>
  <c r="J43" i="6" s="1"/>
  <c r="I42" i="6"/>
  <c r="J42" i="6" s="1"/>
  <c r="G42" i="6"/>
  <c r="D42" i="6"/>
  <c r="E42" i="6" s="1"/>
  <c r="H42" i="6" s="1"/>
  <c r="C42" i="6"/>
  <c r="G41" i="6"/>
  <c r="D41" i="6"/>
  <c r="C41" i="6"/>
  <c r="E41" i="6" s="1"/>
  <c r="H41" i="6" s="1"/>
  <c r="I41" i="6" s="1"/>
  <c r="J41" i="6" s="1"/>
  <c r="G40" i="6"/>
  <c r="D40" i="6"/>
  <c r="C40" i="6"/>
  <c r="E40" i="6" s="1"/>
  <c r="H40" i="6" s="1"/>
  <c r="I40" i="6" s="1"/>
  <c r="J40" i="6" s="1"/>
  <c r="G39" i="6"/>
  <c r="E39" i="6"/>
  <c r="H39" i="6" s="1"/>
  <c r="I39" i="6" s="1"/>
  <c r="J39" i="6" s="1"/>
  <c r="D39" i="6"/>
  <c r="C39" i="6"/>
  <c r="G38" i="6"/>
  <c r="D38" i="6"/>
  <c r="C38" i="6"/>
  <c r="E38" i="6" s="1"/>
  <c r="H38" i="6" s="1"/>
  <c r="I38" i="6" s="1"/>
  <c r="J38" i="6" s="1"/>
  <c r="H37" i="6"/>
  <c r="I37" i="6" s="1"/>
  <c r="J37" i="6" s="1"/>
  <c r="G37" i="6"/>
  <c r="D37" i="6"/>
  <c r="C37" i="6"/>
  <c r="E37" i="6" s="1"/>
  <c r="G36" i="6"/>
  <c r="D36" i="6"/>
  <c r="C36" i="6"/>
  <c r="E36" i="6" s="1"/>
  <c r="H36" i="6" s="1"/>
  <c r="I36" i="6" s="1"/>
  <c r="J36" i="6" s="1"/>
  <c r="G35" i="6"/>
  <c r="E35" i="6"/>
  <c r="H35" i="6" s="1"/>
  <c r="I35" i="6" s="1"/>
  <c r="J35" i="6" s="1"/>
  <c r="D35" i="6"/>
  <c r="C35" i="6"/>
  <c r="G34" i="6"/>
  <c r="D34" i="6"/>
  <c r="E34" i="6" s="1"/>
  <c r="H34" i="6" s="1"/>
  <c r="I34" i="6" s="1"/>
  <c r="J34" i="6" s="1"/>
  <c r="C34" i="6"/>
  <c r="G33" i="6"/>
  <c r="D33" i="6"/>
  <c r="C33" i="6"/>
  <c r="E33" i="6" s="1"/>
  <c r="H33" i="6" s="1"/>
  <c r="I33" i="6" s="1"/>
  <c r="J33" i="6" s="1"/>
  <c r="G32" i="6"/>
  <c r="H32" i="6" s="1"/>
  <c r="I32" i="6" s="1"/>
  <c r="J32" i="6" s="1"/>
  <c r="E32" i="6"/>
  <c r="D32" i="6"/>
  <c r="C32" i="6"/>
  <c r="G31" i="6"/>
  <c r="D31" i="6"/>
  <c r="C31" i="6"/>
  <c r="E31" i="6" s="1"/>
  <c r="H31" i="6" s="1"/>
  <c r="I31" i="6" s="1"/>
  <c r="J31" i="6" s="1"/>
  <c r="G30" i="6"/>
  <c r="D30" i="6"/>
  <c r="E30" i="6" s="1"/>
  <c r="H30" i="6" s="1"/>
  <c r="I30" i="6" s="1"/>
  <c r="J30" i="6" s="1"/>
  <c r="C30" i="6"/>
  <c r="G29" i="6"/>
  <c r="D29" i="6"/>
  <c r="C29" i="6"/>
  <c r="E29" i="6" s="1"/>
  <c r="H29" i="6" s="1"/>
  <c r="I29" i="6" s="1"/>
  <c r="J29" i="6" s="1"/>
  <c r="G28" i="6"/>
  <c r="D28" i="6"/>
  <c r="C28" i="6"/>
  <c r="E28" i="6" s="1"/>
  <c r="H28" i="6" s="1"/>
  <c r="I28" i="6" s="1"/>
  <c r="J28" i="6" s="1"/>
  <c r="G27" i="6"/>
  <c r="E27" i="6"/>
  <c r="D27" i="6"/>
  <c r="C27" i="6"/>
  <c r="G26" i="6"/>
  <c r="D26" i="6"/>
  <c r="C26" i="6"/>
  <c r="E26" i="6" s="1"/>
  <c r="H26" i="6" s="1"/>
  <c r="I26" i="6" s="1"/>
  <c r="J26" i="6" s="1"/>
  <c r="G25" i="6"/>
  <c r="D25" i="6"/>
  <c r="C25" i="6"/>
  <c r="E25" i="6" s="1"/>
  <c r="H25" i="6" s="1"/>
  <c r="I25" i="6" s="1"/>
  <c r="J25" i="6" s="1"/>
  <c r="G24" i="6"/>
  <c r="D24" i="6"/>
  <c r="C24" i="6"/>
  <c r="E24" i="6" s="1"/>
  <c r="H24" i="6" s="1"/>
  <c r="I24" i="6" s="1"/>
  <c r="J24" i="6" s="1"/>
  <c r="J23" i="6"/>
  <c r="G23" i="6"/>
  <c r="E23" i="6"/>
  <c r="H23" i="6" s="1"/>
  <c r="I23" i="6" s="1"/>
  <c r="D23" i="6"/>
  <c r="C23" i="6"/>
  <c r="G22" i="6"/>
  <c r="D22" i="6"/>
  <c r="E22" i="6" s="1"/>
  <c r="H22" i="6" s="1"/>
  <c r="I22" i="6" s="1"/>
  <c r="J22" i="6" s="1"/>
  <c r="C22" i="6"/>
  <c r="G21" i="6"/>
  <c r="D21" i="6"/>
  <c r="C21" i="6"/>
  <c r="E21" i="6" s="1"/>
  <c r="H21" i="6" s="1"/>
  <c r="I21" i="6" s="1"/>
  <c r="J21" i="6" s="1"/>
  <c r="G20" i="6"/>
  <c r="H20" i="6" s="1"/>
  <c r="I20" i="6" s="1"/>
  <c r="J20" i="6" s="1"/>
  <c r="E20" i="6"/>
  <c r="D20" i="6"/>
  <c r="C20" i="6"/>
  <c r="G19" i="6"/>
  <c r="D19" i="6"/>
  <c r="C19" i="6"/>
  <c r="E19" i="6" s="1"/>
  <c r="H19" i="6" s="1"/>
  <c r="I19" i="6" s="1"/>
  <c r="J19" i="6" s="1"/>
  <c r="I18" i="6"/>
  <c r="J18" i="6" s="1"/>
  <c r="G18" i="6"/>
  <c r="D18" i="6"/>
  <c r="E18" i="6" s="1"/>
  <c r="H18" i="6" s="1"/>
  <c r="C18" i="6"/>
  <c r="G17" i="6"/>
  <c r="D17" i="6"/>
  <c r="C17" i="6"/>
  <c r="E17" i="6" s="1"/>
  <c r="H17" i="6" s="1"/>
  <c r="I17" i="6" s="1"/>
  <c r="J17" i="6" s="1"/>
  <c r="G16" i="6"/>
  <c r="D16" i="6"/>
  <c r="C16" i="6"/>
  <c r="E16" i="6" s="1"/>
  <c r="H16" i="6" s="1"/>
  <c r="I16" i="6" s="1"/>
  <c r="J16" i="6" s="1"/>
  <c r="G15" i="6"/>
  <c r="E15" i="6"/>
  <c r="H15" i="6" s="1"/>
  <c r="I15" i="6" s="1"/>
  <c r="J15" i="6" s="1"/>
  <c r="D15" i="6"/>
  <c r="C15" i="6"/>
  <c r="G14" i="6"/>
  <c r="D14" i="6"/>
  <c r="C14" i="6"/>
  <c r="E14" i="6" s="1"/>
  <c r="H14" i="6" s="1"/>
  <c r="I14" i="6" s="1"/>
  <c r="J14" i="6" s="1"/>
  <c r="G13" i="6"/>
  <c r="D13" i="6"/>
  <c r="C13" i="6"/>
  <c r="E13" i="6" s="1"/>
  <c r="H13" i="6" s="1"/>
  <c r="I13" i="6" s="1"/>
  <c r="J13" i="6" s="1"/>
  <c r="G12" i="6"/>
  <c r="D12" i="6"/>
  <c r="C12" i="6"/>
  <c r="E12" i="6" s="1"/>
  <c r="H12" i="6" s="1"/>
  <c r="I12" i="6" s="1"/>
  <c r="J12" i="6" s="1"/>
  <c r="G11" i="6"/>
  <c r="E11" i="6"/>
  <c r="H11" i="6" s="1"/>
  <c r="I11" i="6" s="1"/>
  <c r="J11" i="6" s="1"/>
  <c r="D11" i="6"/>
  <c r="C11" i="6"/>
  <c r="G10" i="6"/>
  <c r="D10" i="6"/>
  <c r="E10" i="6" s="1"/>
  <c r="H10" i="6" s="1"/>
  <c r="I10" i="6" s="1"/>
  <c r="J10" i="6" s="1"/>
  <c r="C10" i="6"/>
  <c r="G9" i="6"/>
  <c r="D9" i="6"/>
  <c r="C9" i="6"/>
  <c r="E9" i="6" s="1"/>
  <c r="H9" i="6" s="1"/>
  <c r="I9" i="6" s="1"/>
  <c r="J9" i="6" s="1"/>
  <c r="G8" i="6"/>
  <c r="H8" i="6" s="1"/>
  <c r="I8" i="6" s="1"/>
  <c r="J8" i="6" s="1"/>
  <c r="E8" i="6"/>
  <c r="D8" i="6"/>
  <c r="C8" i="6"/>
  <c r="G7" i="6"/>
  <c r="D7" i="6"/>
  <c r="C7" i="6"/>
  <c r="E7" i="6" s="1"/>
  <c r="H7" i="6" s="1"/>
  <c r="I7" i="6" s="1"/>
  <c r="J7" i="6" s="1"/>
  <c r="I6" i="6"/>
  <c r="J6" i="6" s="1"/>
  <c r="G6" i="6"/>
  <c r="D6" i="6"/>
  <c r="E6" i="6" s="1"/>
  <c r="H6" i="6" s="1"/>
  <c r="C6" i="6"/>
  <c r="G5" i="6"/>
  <c r="E5" i="6"/>
  <c r="H5" i="6" s="1"/>
  <c r="I5" i="6" s="1"/>
  <c r="J5" i="6" s="1"/>
  <c r="D5" i="6"/>
  <c r="C5" i="6"/>
  <c r="G4" i="6"/>
  <c r="D4" i="6"/>
  <c r="C4" i="6"/>
  <c r="E4" i="6" s="1"/>
  <c r="H4" i="6" s="1"/>
  <c r="I4" i="6" s="1"/>
  <c r="J4" i="6" s="1"/>
  <c r="G3" i="6"/>
  <c r="E3" i="6"/>
  <c r="H3" i="6" s="1"/>
  <c r="I3" i="6" s="1"/>
  <c r="J3" i="6" s="1"/>
  <c r="D3" i="6"/>
  <c r="C3" i="6"/>
  <c r="S4" i="5"/>
  <c r="T4" i="5"/>
  <c r="U4" i="5"/>
  <c r="S5" i="5"/>
  <c r="T5" i="5"/>
  <c r="U5" i="5"/>
  <c r="S6" i="5"/>
  <c r="T6" i="5" s="1"/>
  <c r="U6" i="5" s="1"/>
  <c r="S7" i="5"/>
  <c r="T7" i="5"/>
  <c r="U7" i="5"/>
  <c r="S8" i="5"/>
  <c r="T8" i="5"/>
  <c r="U8" i="5"/>
  <c r="S9" i="5"/>
  <c r="T9" i="5"/>
  <c r="U9" i="5"/>
  <c r="S10" i="5"/>
  <c r="T10" i="5"/>
  <c r="U10" i="5"/>
  <c r="S11" i="5"/>
  <c r="T11" i="5"/>
  <c r="U11" i="5"/>
  <c r="S12" i="5"/>
  <c r="T12" i="5"/>
  <c r="U12" i="5"/>
  <c r="S13" i="5"/>
  <c r="T13" i="5"/>
  <c r="U13" i="5"/>
  <c r="S14" i="5"/>
  <c r="T14" i="5"/>
  <c r="U14" i="5"/>
  <c r="S15" i="5"/>
  <c r="T15" i="5"/>
  <c r="U15" i="5"/>
  <c r="S16" i="5"/>
  <c r="T16" i="5"/>
  <c r="U16" i="5"/>
  <c r="S17" i="5"/>
  <c r="T17" i="5"/>
  <c r="U17" i="5"/>
  <c r="S18" i="5"/>
  <c r="T18" i="5"/>
  <c r="U18" i="5"/>
  <c r="S19" i="5"/>
  <c r="T19" i="5"/>
  <c r="U19" i="5"/>
  <c r="S20" i="5"/>
  <c r="T20" i="5"/>
  <c r="U20" i="5"/>
  <c r="S21" i="5"/>
  <c r="T21" i="5"/>
  <c r="U21" i="5"/>
  <c r="S22" i="5"/>
  <c r="T22" i="5"/>
  <c r="U22" i="5"/>
  <c r="S23" i="5"/>
  <c r="T23" i="5"/>
  <c r="U23" i="5"/>
  <c r="S24" i="5"/>
  <c r="T24" i="5"/>
  <c r="U24" i="5"/>
  <c r="S25" i="5"/>
  <c r="T25" i="5"/>
  <c r="U25" i="5"/>
  <c r="S26" i="5"/>
  <c r="T26" i="5"/>
  <c r="U26" i="5"/>
  <c r="S27" i="5"/>
  <c r="T27" i="5"/>
  <c r="U27" i="5"/>
  <c r="S28" i="5"/>
  <c r="T28" i="5"/>
  <c r="U28" i="5"/>
  <c r="S29" i="5"/>
  <c r="T29" i="5"/>
  <c r="U29" i="5"/>
  <c r="S30" i="5"/>
  <c r="T30" i="5"/>
  <c r="U30" i="5"/>
  <c r="S31" i="5"/>
  <c r="T31" i="5"/>
  <c r="U31" i="5"/>
  <c r="S32" i="5"/>
  <c r="T32" i="5"/>
  <c r="U32" i="5"/>
  <c r="S33" i="5"/>
  <c r="T33" i="5"/>
  <c r="U33" i="5"/>
  <c r="S34" i="5"/>
  <c r="T34" i="5"/>
  <c r="U34" i="5"/>
  <c r="S35" i="5"/>
  <c r="T35" i="5"/>
  <c r="U35" i="5"/>
  <c r="S36" i="5"/>
  <c r="T36" i="5"/>
  <c r="U36" i="5"/>
  <c r="S37" i="5"/>
  <c r="T37" i="5"/>
  <c r="U37" i="5"/>
  <c r="S38" i="5"/>
  <c r="T38" i="5"/>
  <c r="U38" i="5"/>
  <c r="S39" i="5"/>
  <c r="T39" i="5"/>
  <c r="U39" i="5"/>
  <c r="S40" i="5"/>
  <c r="T40" i="5"/>
  <c r="U40" i="5"/>
  <c r="S41" i="5"/>
  <c r="T41" i="5"/>
  <c r="U41" i="5"/>
  <c r="S42" i="5"/>
  <c r="T42" i="5"/>
  <c r="U42" i="5"/>
  <c r="S43" i="5"/>
  <c r="T43" i="5"/>
  <c r="U43" i="5"/>
  <c r="S44" i="5"/>
  <c r="T44" i="5"/>
  <c r="U44" i="5"/>
  <c r="S45" i="5"/>
  <c r="T45" i="5"/>
  <c r="U45" i="5"/>
  <c r="S46" i="5"/>
  <c r="T46" i="5"/>
  <c r="U46" i="5"/>
  <c r="S47" i="5"/>
  <c r="T47" i="5"/>
  <c r="U47" i="5"/>
  <c r="S48" i="5"/>
  <c r="T48" i="5"/>
  <c r="U48" i="5"/>
  <c r="S49" i="5"/>
  <c r="T49" i="5"/>
  <c r="U49" i="5"/>
  <c r="S50" i="5"/>
  <c r="T50" i="5"/>
  <c r="U50" i="5"/>
  <c r="S51" i="5"/>
  <c r="T51" i="5"/>
  <c r="U51" i="5"/>
  <c r="S52" i="5"/>
  <c r="T52" i="5"/>
  <c r="U52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3" i="5"/>
  <c r="P3" i="5"/>
  <c r="K3" i="2"/>
  <c r="J3" i="2"/>
  <c r="H3" i="2"/>
  <c r="D3" i="2"/>
  <c r="E5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I52" i="3" s="1"/>
  <c r="J52" i="3" s="1"/>
  <c r="H3" i="3"/>
  <c r="G5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3" i="3"/>
  <c r="G3" i="2"/>
  <c r="C3" i="2"/>
  <c r="K24" i="2"/>
  <c r="K3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K52" i="2" s="1"/>
  <c r="C1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4" i="3"/>
  <c r="D5" i="3"/>
  <c r="D6" i="3"/>
  <c r="D7" i="3"/>
  <c r="D8" i="3"/>
  <c r="D9" i="3"/>
  <c r="D10" i="3"/>
  <c r="D11" i="3"/>
  <c r="D12" i="3"/>
  <c r="D13" i="3"/>
  <c r="D14" i="3"/>
  <c r="D15" i="3"/>
  <c r="E15" i="3" s="1"/>
  <c r="D16" i="3"/>
  <c r="D17" i="3"/>
  <c r="D18" i="3"/>
  <c r="D19" i="3"/>
  <c r="D20" i="3"/>
  <c r="D21" i="3"/>
  <c r="D22" i="3"/>
  <c r="D23" i="3"/>
  <c r="E23" i="3" s="1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3" i="3"/>
  <c r="C52" i="2"/>
  <c r="C52" i="3"/>
  <c r="C51" i="3"/>
  <c r="C34" i="2"/>
  <c r="E34" i="2" s="1"/>
  <c r="K34" i="2" s="1"/>
  <c r="C50" i="2"/>
  <c r="C49" i="2"/>
  <c r="E49" i="2" s="1"/>
  <c r="K49" i="2" s="1"/>
  <c r="C48" i="2"/>
  <c r="C47" i="2"/>
  <c r="C46" i="2"/>
  <c r="C45" i="2"/>
  <c r="E45" i="2" s="1"/>
  <c r="K45" i="2" s="1"/>
  <c r="C44" i="2"/>
  <c r="C43" i="2"/>
  <c r="E43" i="2" s="1"/>
  <c r="K43" i="2" s="1"/>
  <c r="C42" i="2"/>
  <c r="C41" i="2"/>
  <c r="C40" i="2"/>
  <c r="C39" i="2"/>
  <c r="C38" i="2"/>
  <c r="E38" i="2" s="1"/>
  <c r="K38" i="2" s="1"/>
  <c r="C37" i="2"/>
  <c r="E37" i="2" s="1"/>
  <c r="C36" i="2"/>
  <c r="C35" i="2"/>
  <c r="C33" i="2"/>
  <c r="C32" i="2"/>
  <c r="C31" i="2"/>
  <c r="C30" i="2"/>
  <c r="C29" i="2"/>
  <c r="C28" i="2"/>
  <c r="C27" i="2"/>
  <c r="C26" i="2"/>
  <c r="C25" i="2"/>
  <c r="C24" i="2"/>
  <c r="E24" i="2" s="1"/>
  <c r="C23" i="2"/>
  <c r="C22" i="2"/>
  <c r="C21" i="2"/>
  <c r="C20" i="2"/>
  <c r="C19" i="2"/>
  <c r="C17" i="2"/>
  <c r="C16" i="2"/>
  <c r="C15" i="2"/>
  <c r="C14" i="2"/>
  <c r="C13" i="2"/>
  <c r="C51" i="2"/>
  <c r="E51" i="2" s="1"/>
  <c r="K51" i="2" s="1"/>
  <c r="C11" i="2"/>
  <c r="C12" i="2"/>
  <c r="C10" i="2"/>
  <c r="C9" i="2"/>
  <c r="C8" i="2"/>
  <c r="E8" i="2" s="1"/>
  <c r="K8" i="2" s="1"/>
  <c r="C7" i="2"/>
  <c r="C4" i="2"/>
  <c r="C5" i="2"/>
  <c r="C6" i="2"/>
  <c r="E6" i="2" s="1"/>
  <c r="K6" i="2" s="1"/>
  <c r="E52" i="2"/>
  <c r="C26" i="3"/>
  <c r="C27" i="3"/>
  <c r="C3" i="3"/>
  <c r="E3" i="3" s="1"/>
  <c r="C50" i="3"/>
  <c r="C49" i="3"/>
  <c r="C48" i="3"/>
  <c r="E48" i="3" s="1"/>
  <c r="C47" i="3"/>
  <c r="E47" i="3" s="1"/>
  <c r="C46" i="3"/>
  <c r="C45" i="3"/>
  <c r="E45" i="3" s="1"/>
  <c r="C44" i="3"/>
  <c r="E44" i="3" s="1"/>
  <c r="C43" i="3"/>
  <c r="C42" i="3"/>
  <c r="C41" i="3"/>
  <c r="C40" i="3"/>
  <c r="E40" i="3" s="1"/>
  <c r="C39" i="3"/>
  <c r="C38" i="3"/>
  <c r="C37" i="3"/>
  <c r="C36" i="3"/>
  <c r="C35" i="3"/>
  <c r="E35" i="3" s="1"/>
  <c r="C34" i="3"/>
  <c r="E34" i="3" s="1"/>
  <c r="C33" i="3"/>
  <c r="E33" i="3" s="1"/>
  <c r="C32" i="3"/>
  <c r="E32" i="3" s="1"/>
  <c r="C31" i="3"/>
  <c r="C30" i="3"/>
  <c r="C29" i="3"/>
  <c r="C28" i="3"/>
  <c r="E28" i="3" s="1"/>
  <c r="C25" i="3"/>
  <c r="C24" i="3"/>
  <c r="C23" i="3"/>
  <c r="C22" i="3"/>
  <c r="C21" i="3"/>
  <c r="C20" i="3"/>
  <c r="E20" i="3" s="1"/>
  <c r="C19" i="3"/>
  <c r="E19" i="3" s="1"/>
  <c r="C18" i="3"/>
  <c r="E18" i="3" s="1"/>
  <c r="C17" i="3"/>
  <c r="C16" i="3"/>
  <c r="E16" i="3" s="1"/>
  <c r="C15" i="3"/>
  <c r="C14" i="3"/>
  <c r="C13" i="3"/>
  <c r="C12" i="3"/>
  <c r="C11" i="3"/>
  <c r="C9" i="3"/>
  <c r="C8" i="3"/>
  <c r="C10" i="3" s="1"/>
  <c r="C7" i="3"/>
  <c r="E7" i="3" s="1"/>
  <c r="C6" i="3"/>
  <c r="E6" i="3" s="1"/>
  <c r="C5" i="3"/>
  <c r="E5" i="3" s="1"/>
  <c r="C4" i="3"/>
  <c r="E4" i="3" s="1"/>
  <c r="O5" i="5"/>
  <c r="O6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J4" i="5"/>
  <c r="O4" i="5" s="1"/>
  <c r="K4" i="5"/>
  <c r="J5" i="5"/>
  <c r="K5" i="5"/>
  <c r="J6" i="5"/>
  <c r="K6" i="5"/>
  <c r="J7" i="5"/>
  <c r="O7" i="5" s="1"/>
  <c r="K7" i="5"/>
  <c r="J8" i="5"/>
  <c r="K8" i="5"/>
  <c r="J9" i="5"/>
  <c r="K9" i="5"/>
  <c r="J10" i="5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J19" i="5"/>
  <c r="K19" i="5"/>
  <c r="J20" i="5"/>
  <c r="K20" i="5"/>
  <c r="J21" i="5"/>
  <c r="K21" i="5"/>
  <c r="J22" i="5"/>
  <c r="K22" i="5"/>
  <c r="J23" i="5"/>
  <c r="K23" i="5"/>
  <c r="J24" i="5"/>
  <c r="K24" i="5"/>
  <c r="J25" i="5"/>
  <c r="K25" i="5"/>
  <c r="J26" i="5"/>
  <c r="K26" i="5"/>
  <c r="J27" i="5"/>
  <c r="K27" i="5"/>
  <c r="J28" i="5"/>
  <c r="K28" i="5"/>
  <c r="J29" i="5"/>
  <c r="K29" i="5"/>
  <c r="J30" i="5"/>
  <c r="K30" i="5"/>
  <c r="J31" i="5"/>
  <c r="K31" i="5"/>
  <c r="J32" i="5"/>
  <c r="K32" i="5"/>
  <c r="J33" i="5"/>
  <c r="K33" i="5"/>
  <c r="J34" i="5"/>
  <c r="K34" i="5"/>
  <c r="J35" i="5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J42" i="5"/>
  <c r="K42" i="5"/>
  <c r="J43" i="5"/>
  <c r="K43" i="5"/>
  <c r="J44" i="5"/>
  <c r="K44" i="5"/>
  <c r="J45" i="5"/>
  <c r="K45" i="5"/>
  <c r="J46" i="5"/>
  <c r="K46" i="5"/>
  <c r="J47" i="5"/>
  <c r="K47" i="5"/>
  <c r="J48" i="5"/>
  <c r="K48" i="5"/>
  <c r="J49" i="5"/>
  <c r="K49" i="5"/>
  <c r="J50" i="5"/>
  <c r="K50" i="5"/>
  <c r="J51" i="5"/>
  <c r="K51" i="5"/>
  <c r="J52" i="5"/>
  <c r="K52" i="5"/>
  <c r="K3" i="5"/>
  <c r="J3" i="5"/>
  <c r="O3" i="5" s="1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9" i="5"/>
  <c r="P8" i="5"/>
  <c r="P10" i="5" s="1"/>
  <c r="P7" i="5"/>
  <c r="P6" i="5"/>
  <c r="P5" i="5"/>
  <c r="P4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3" i="5"/>
  <c r="H51" i="6" l="1"/>
  <c r="I51" i="6" s="1"/>
  <c r="J51" i="6" s="1"/>
  <c r="H27" i="6"/>
  <c r="I27" i="6" s="1"/>
  <c r="J27" i="6" s="1"/>
  <c r="E48" i="2"/>
  <c r="K48" i="2" s="1"/>
  <c r="L48" i="2" s="1"/>
  <c r="M48" i="2" s="1"/>
  <c r="E21" i="3"/>
  <c r="I21" i="3" s="1"/>
  <c r="J21" i="3" s="1"/>
  <c r="E9" i="3"/>
  <c r="E29" i="3"/>
  <c r="E41" i="3"/>
  <c r="E50" i="3"/>
  <c r="E38" i="3"/>
  <c r="I38" i="3" s="1"/>
  <c r="J38" i="3" s="1"/>
  <c r="E14" i="3"/>
  <c r="I14" i="3" s="1"/>
  <c r="J14" i="3" s="1"/>
  <c r="E10" i="3"/>
  <c r="E51" i="3"/>
  <c r="I51" i="3" s="1"/>
  <c r="J51" i="3" s="1"/>
  <c r="E27" i="3"/>
  <c r="I27" i="3" s="1"/>
  <c r="J27" i="3" s="1"/>
  <c r="E30" i="3"/>
  <c r="I30" i="3" s="1"/>
  <c r="J30" i="3" s="1"/>
  <c r="E42" i="3"/>
  <c r="I42" i="3" s="1"/>
  <c r="J42" i="3" s="1"/>
  <c r="E49" i="3"/>
  <c r="I49" i="3" s="1"/>
  <c r="J49" i="3" s="1"/>
  <c r="E25" i="3"/>
  <c r="E46" i="3"/>
  <c r="E39" i="3"/>
  <c r="E17" i="3"/>
  <c r="E31" i="3"/>
  <c r="I31" i="3" s="1"/>
  <c r="J31" i="3" s="1"/>
  <c r="E43" i="3"/>
  <c r="I43" i="3" s="1"/>
  <c r="J43" i="3" s="1"/>
  <c r="E24" i="3"/>
  <c r="I23" i="3"/>
  <c r="J23" i="3" s="1"/>
  <c r="I3" i="3"/>
  <c r="J3" i="3" s="1"/>
  <c r="I48" i="3"/>
  <c r="J48" i="3" s="1"/>
  <c r="I35" i="3"/>
  <c r="J35" i="3" s="1"/>
  <c r="I50" i="3"/>
  <c r="J50" i="3" s="1"/>
  <c r="I25" i="3"/>
  <c r="J25" i="3" s="1"/>
  <c r="I19" i="3"/>
  <c r="J19" i="3" s="1"/>
  <c r="I7" i="3"/>
  <c r="J7" i="3" s="1"/>
  <c r="I9" i="3"/>
  <c r="J9" i="3" s="1"/>
  <c r="I39" i="3"/>
  <c r="J39" i="3" s="1"/>
  <c r="I15" i="3"/>
  <c r="J15" i="3" s="1"/>
  <c r="I24" i="3"/>
  <c r="J24" i="3" s="1"/>
  <c r="E25" i="2"/>
  <c r="K25" i="2" s="1"/>
  <c r="E7" i="2"/>
  <c r="K7" i="2" s="1"/>
  <c r="E31" i="2"/>
  <c r="K31" i="2" s="1"/>
  <c r="E44" i="2"/>
  <c r="K44" i="2" s="1"/>
  <c r="L44" i="2" s="1"/>
  <c r="M44" i="2" s="1"/>
  <c r="E20" i="2"/>
  <c r="K20" i="2" s="1"/>
  <c r="E9" i="2"/>
  <c r="K9" i="2" s="1"/>
  <c r="E21" i="2"/>
  <c r="K21" i="2" s="1"/>
  <c r="E33" i="2"/>
  <c r="K33" i="2" s="1"/>
  <c r="E19" i="2"/>
  <c r="K19" i="2" s="1"/>
  <c r="E32" i="2"/>
  <c r="K32" i="2" s="1"/>
  <c r="E12" i="2"/>
  <c r="K12" i="2" s="1"/>
  <c r="E36" i="2"/>
  <c r="E50" i="2"/>
  <c r="K50" i="2" s="1"/>
  <c r="L50" i="2" s="1"/>
  <c r="M50" i="2" s="1"/>
  <c r="E39" i="2"/>
  <c r="K39" i="2" s="1"/>
  <c r="L39" i="2" s="1"/>
  <c r="M39" i="2" s="1"/>
  <c r="E40" i="2"/>
  <c r="K40" i="2" s="1"/>
  <c r="L40" i="2" s="1"/>
  <c r="M40" i="2" s="1"/>
  <c r="E10" i="2"/>
  <c r="K10" i="2" s="1"/>
  <c r="E3" i="2"/>
  <c r="L3" i="2" s="1"/>
  <c r="M3" i="2" s="1"/>
  <c r="E15" i="2"/>
  <c r="K15" i="2" s="1"/>
  <c r="E28" i="2"/>
  <c r="K28" i="2" s="1"/>
  <c r="E41" i="2"/>
  <c r="K41" i="2" s="1"/>
  <c r="E23" i="2"/>
  <c r="K23" i="2" s="1"/>
  <c r="E14" i="2"/>
  <c r="K14" i="2" s="1"/>
  <c r="E46" i="2"/>
  <c r="K46" i="2" s="1"/>
  <c r="E22" i="2"/>
  <c r="K22" i="2" s="1"/>
  <c r="E5" i="2"/>
  <c r="K5" i="2" s="1"/>
  <c r="E16" i="2"/>
  <c r="K16" i="2" s="1"/>
  <c r="E29" i="2"/>
  <c r="K29" i="2" s="1"/>
  <c r="E42" i="2"/>
  <c r="K42" i="2" s="1"/>
  <c r="L42" i="2" s="1"/>
  <c r="M42" i="2" s="1"/>
  <c r="E26" i="2"/>
  <c r="K26" i="2" s="1"/>
  <c r="E11" i="2"/>
  <c r="K11" i="2" s="1"/>
  <c r="E27" i="2"/>
  <c r="K27" i="2" s="1"/>
  <c r="E4" i="2"/>
  <c r="K4" i="2" s="1"/>
  <c r="E17" i="2"/>
  <c r="K17" i="2" s="1"/>
  <c r="E30" i="2"/>
  <c r="K30" i="2" s="1"/>
  <c r="E47" i="2"/>
  <c r="K47" i="2" s="1"/>
  <c r="E13" i="2"/>
  <c r="K13" i="2" s="1"/>
  <c r="E35" i="2"/>
  <c r="K35" i="2" s="1"/>
  <c r="L45" i="2"/>
  <c r="M45" i="2" s="1"/>
  <c r="E18" i="2"/>
  <c r="K18" i="2" s="1"/>
  <c r="L49" i="2"/>
  <c r="M49" i="2" s="1"/>
  <c r="E26" i="3"/>
  <c r="I26" i="3" s="1"/>
  <c r="J26" i="3" s="1"/>
  <c r="E22" i="3"/>
  <c r="I22" i="3" s="1"/>
  <c r="J22" i="3" s="1"/>
  <c r="E36" i="3"/>
  <c r="I36" i="3" s="1"/>
  <c r="J36" i="3" s="1"/>
  <c r="E11" i="3"/>
  <c r="I11" i="3" s="1"/>
  <c r="J11" i="3" s="1"/>
  <c r="E37" i="3"/>
  <c r="I37" i="3" s="1"/>
  <c r="J37" i="3" s="1"/>
  <c r="E12" i="3"/>
  <c r="I12" i="3" s="1"/>
  <c r="J12" i="3" s="1"/>
  <c r="E13" i="3"/>
  <c r="I13" i="3" s="1"/>
  <c r="J13" i="3" s="1"/>
  <c r="I34" i="3"/>
  <c r="J34" i="3" s="1"/>
  <c r="L51" i="2"/>
  <c r="M51" i="2" s="1"/>
  <c r="L38" i="2"/>
  <c r="M38" i="2" s="1"/>
  <c r="E8" i="3"/>
  <c r="I8" i="3" s="1"/>
  <c r="J8" i="3" s="1"/>
  <c r="I47" i="3"/>
  <c r="J47" i="3" s="1"/>
  <c r="I20" i="3"/>
  <c r="J20" i="3" s="1"/>
  <c r="I32" i="3"/>
  <c r="J32" i="3" s="1"/>
  <c r="I44" i="3"/>
  <c r="J44" i="3" s="1"/>
  <c r="I33" i="3"/>
  <c r="J33" i="3" s="1"/>
  <c r="I45" i="3"/>
  <c r="J45" i="3" s="1"/>
  <c r="I10" i="3"/>
  <c r="J10" i="3" s="1"/>
  <c r="I46" i="3"/>
  <c r="J46" i="3" s="1"/>
  <c r="I4" i="3"/>
  <c r="J4" i="3" s="1"/>
  <c r="I16" i="3"/>
  <c r="J16" i="3" s="1"/>
  <c r="I28" i="3"/>
  <c r="J28" i="3" s="1"/>
  <c r="I40" i="3"/>
  <c r="J40" i="3" s="1"/>
  <c r="I5" i="3"/>
  <c r="J5" i="3" s="1"/>
  <c r="I17" i="3"/>
  <c r="J17" i="3" s="1"/>
  <c r="I29" i="3"/>
  <c r="J29" i="3" s="1"/>
  <c r="I41" i="3"/>
  <c r="J41" i="3" s="1"/>
  <c r="I6" i="3"/>
  <c r="J6" i="3" s="1"/>
  <c r="I18" i="3"/>
  <c r="J18" i="3" s="1"/>
  <c r="L52" i="2"/>
  <c r="M52" i="2" s="1"/>
  <c r="L43" i="2"/>
  <c r="M43" i="2" s="1"/>
  <c r="K36" i="2" l="1"/>
  <c r="L36" i="2" s="1"/>
  <c r="M36" i="2" s="1"/>
  <c r="L47" i="2"/>
  <c r="M47" i="2" s="1"/>
  <c r="L46" i="2"/>
  <c r="M46" i="2" s="1"/>
  <c r="L41" i="2"/>
  <c r="M41" i="2" s="1"/>
  <c r="T3" i="5"/>
  <c r="U3" i="5" s="1"/>
  <c r="V3" i="5" s="1"/>
  <c r="L37" i="2"/>
  <c r="M37" i="2" s="1"/>
  <c r="L35" i="2"/>
  <c r="M35" i="2" s="1"/>
  <c r="L6" i="2"/>
  <c r="M6" i="2" s="1"/>
  <c r="L7" i="2"/>
  <c r="M7" i="2" s="1"/>
  <c r="L9" i="2"/>
  <c r="M9" i="2" s="1"/>
  <c r="L10" i="2"/>
  <c r="M10" i="2" s="1"/>
  <c r="L12" i="2"/>
  <c r="M12" i="2" s="1"/>
  <c r="L14" i="2"/>
  <c r="M14" i="2" s="1"/>
  <c r="L21" i="2"/>
  <c r="M21" i="2" s="1"/>
  <c r="L22" i="2"/>
  <c r="M22" i="2" s="1"/>
  <c r="L23" i="2"/>
  <c r="M23" i="2" s="1"/>
  <c r="L15" i="2"/>
  <c r="M15" i="2" s="1"/>
  <c r="L27" i="2"/>
  <c r="M27" i="2" s="1"/>
  <c r="L5" i="2"/>
  <c r="M5" i="2" s="1"/>
  <c r="L16" i="2"/>
  <c r="M16" i="2" s="1"/>
  <c r="L17" i="2"/>
  <c r="M17" i="2" s="1"/>
  <c r="L19" i="2"/>
  <c r="M19" i="2" s="1"/>
  <c r="L20" i="2"/>
  <c r="M20" i="2" s="1"/>
  <c r="L29" i="2"/>
  <c r="M29" i="2" s="1"/>
  <c r="L30" i="2"/>
  <c r="M30" i="2" s="1"/>
  <c r="L31" i="2"/>
  <c r="M31" i="2" s="1"/>
  <c r="L33" i="2"/>
  <c r="M33" i="2" s="1"/>
  <c r="L8" i="2"/>
  <c r="M8" i="2" s="1"/>
  <c r="H27" i="1"/>
  <c r="H28" i="1"/>
  <c r="H29" i="1"/>
  <c r="H30" i="1"/>
  <c r="H31" i="1"/>
  <c r="H32" i="1"/>
  <c r="H33" i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H20" i="1"/>
  <c r="H21" i="1"/>
  <c r="H22" i="1"/>
  <c r="H23" i="1"/>
  <c r="H24" i="1"/>
  <c r="H25" i="1"/>
  <c r="H26" i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" i="1"/>
  <c r="E2" i="1" s="1"/>
  <c r="C3" i="1"/>
  <c r="E3" i="1" s="1"/>
  <c r="H11" i="1"/>
  <c r="H3" i="1"/>
  <c r="H4" i="1"/>
  <c r="H5" i="1"/>
  <c r="H6" i="1"/>
  <c r="H7" i="1"/>
  <c r="H8" i="1"/>
  <c r="H9" i="1"/>
  <c r="H10" i="1"/>
  <c r="H12" i="1"/>
  <c r="H13" i="1"/>
  <c r="H14" i="1"/>
  <c r="H15" i="1"/>
  <c r="H16" i="1"/>
  <c r="H17" i="1"/>
  <c r="H18" i="1"/>
  <c r="H19" i="1"/>
  <c r="H2" i="1"/>
  <c r="L25" i="2" l="1"/>
  <c r="M25" i="2" s="1"/>
  <c r="L24" i="2"/>
  <c r="M24" i="2" s="1"/>
  <c r="L28" i="2"/>
  <c r="M28" i="2" s="1"/>
  <c r="L34" i="2"/>
  <c r="M34" i="2" s="1"/>
  <c r="L4" i="2"/>
  <c r="M4" i="2" s="1"/>
  <c r="L32" i="2"/>
  <c r="M32" i="2" s="1"/>
  <c r="L11" i="2"/>
  <c r="M11" i="2" s="1"/>
  <c r="L18" i="2"/>
  <c r="M18" i="2" s="1"/>
  <c r="L26" i="2"/>
  <c r="M26" i="2" s="1"/>
  <c r="L13" i="2"/>
  <c r="M13" i="2" s="1"/>
  <c r="I27" i="1"/>
  <c r="I33" i="1"/>
  <c r="I3" i="1"/>
  <c r="I8" i="1"/>
  <c r="I26" i="1"/>
  <c r="I29" i="1"/>
  <c r="I25" i="1"/>
  <c r="I24" i="1"/>
  <c r="I32" i="1"/>
  <c r="I31" i="1"/>
  <c r="I30" i="1"/>
  <c r="I28" i="1"/>
  <c r="I20" i="1"/>
  <c r="I23" i="1"/>
  <c r="I22" i="1"/>
  <c r="I21" i="1"/>
  <c r="I15" i="1"/>
  <c r="I19" i="1"/>
  <c r="I11" i="1"/>
  <c r="I18" i="1"/>
  <c r="I12" i="1"/>
  <c r="I17" i="1"/>
  <c r="I14" i="1"/>
  <c r="I13" i="1"/>
  <c r="I6" i="1"/>
  <c r="I7" i="1"/>
  <c r="I2" i="1"/>
  <c r="I10" i="1"/>
  <c r="I5" i="1"/>
  <c r="I16" i="1"/>
  <c r="I4" i="1"/>
  <c r="I9" i="1"/>
</calcChain>
</file>

<file path=xl/sharedStrings.xml><?xml version="1.0" encoding="utf-8"?>
<sst xmlns="http://schemas.openxmlformats.org/spreadsheetml/2006/main" count="297" uniqueCount="94">
  <si>
    <t>EMPRESA</t>
  </si>
  <si>
    <t>$ GASOLINA</t>
  </si>
  <si>
    <t xml:space="preserve">BOLSAS DE LOS ALTOS </t>
  </si>
  <si>
    <t xml:space="preserve">TOTAL </t>
  </si>
  <si>
    <t>EPC 1</t>
  </si>
  <si>
    <t>ANGUIPALST</t>
  </si>
  <si>
    <t>KM  X2</t>
  </si>
  <si>
    <t>ECOBOLSAS</t>
  </si>
  <si>
    <t>BADER TABACHINES</t>
  </si>
  <si>
    <t>BODYCOTE</t>
  </si>
  <si>
    <t>COFICAB</t>
  </si>
  <si>
    <t>CONDUMEX</t>
  </si>
  <si>
    <t>ECSA</t>
  </si>
  <si>
    <t>EMMSA</t>
  </si>
  <si>
    <t>EPC 2</t>
  </si>
  <si>
    <t>FRAENKISCHE</t>
  </si>
  <si>
    <t>GEDNEY</t>
  </si>
  <si>
    <t>GRUPO ACERERO</t>
  </si>
  <si>
    <t>HALL PLANTA 1</t>
  </si>
  <si>
    <t>HIRUTA PLANTA 1</t>
  </si>
  <si>
    <t>IK PLASTIC</t>
  </si>
  <si>
    <t>IMPRENTA JM</t>
  </si>
  <si>
    <t>JARDÍN LA ALEMANA</t>
  </si>
  <si>
    <t>MAFLOW</t>
  </si>
  <si>
    <t>MARQUARDT</t>
  </si>
  <si>
    <t>MICROONDA</t>
  </si>
  <si>
    <t>MR LUCKY</t>
  </si>
  <si>
    <t>NHK</t>
  </si>
  <si>
    <t>NISHIKAWA</t>
  </si>
  <si>
    <t>PIELES AZTECA</t>
  </si>
  <si>
    <t>RONGTAI</t>
  </si>
  <si>
    <t>SAFE DEMO</t>
  </si>
  <si>
    <t>SUACERO</t>
  </si>
  <si>
    <t>TQ-1</t>
  </si>
  <si>
    <t>MINO INDUSTRY</t>
  </si>
  <si>
    <t>$ GASOLINA2</t>
  </si>
  <si>
    <t>LITROS</t>
  </si>
  <si>
    <t xml:space="preserve">HRS </t>
  </si>
  <si>
    <t>ELECTROFORJADOS</t>
  </si>
  <si>
    <t>$ DANI</t>
  </si>
  <si>
    <t>HR DANI</t>
  </si>
  <si>
    <t>VENTAS</t>
  </si>
  <si>
    <t>TOTAL</t>
  </si>
  <si>
    <t>REFACCIONES</t>
  </si>
  <si>
    <t>TIEMP. INVERTIDO</t>
  </si>
  <si>
    <t>CAMIONETA X HORA</t>
  </si>
  <si>
    <t>TIEMPO ENTREGA</t>
  </si>
  <si>
    <t>GASTOS GENERALES</t>
  </si>
  <si>
    <t>CREDITO 3%</t>
  </si>
  <si>
    <t>EPC1</t>
  </si>
  <si>
    <t>ANGUIPLAST</t>
  </si>
  <si>
    <t>FAS</t>
  </si>
  <si>
    <t>GRANOS Y SEMILLAS</t>
  </si>
  <si>
    <t>DI CENTRAL</t>
  </si>
  <si>
    <t>FAMO ALIMENTOS</t>
  </si>
  <si>
    <t>GRUPO ZAHONERO</t>
  </si>
  <si>
    <t>UTLIDAD 45%</t>
  </si>
  <si>
    <t>CARTO MICRO</t>
  </si>
  <si>
    <t>EMMSA LEÓN.</t>
  </si>
  <si>
    <t>EMMSA SILAO</t>
  </si>
  <si>
    <t>TORNIMASTER</t>
  </si>
  <si>
    <t>HORMAS PALACIOS</t>
  </si>
  <si>
    <t>SADDLEBACK</t>
  </si>
  <si>
    <t>PILSAC</t>
  </si>
  <si>
    <t>BRUSAROSCO</t>
  </si>
  <si>
    <t>HIELO REGIA</t>
  </si>
  <si>
    <t>AEROPUERTO</t>
  </si>
  <si>
    <t>PRELOSA</t>
  </si>
  <si>
    <t xml:space="preserve"> </t>
  </si>
  <si>
    <t>TENERÍA VARGAS</t>
  </si>
  <si>
    <t>SOSER</t>
  </si>
  <si>
    <t>BECERRA</t>
  </si>
  <si>
    <t>VIÁTICOS</t>
  </si>
  <si>
    <t>TIEMPO PLANTA</t>
  </si>
  <si>
    <t xml:space="preserve"> PROGRAMACIÓN PLC HMI</t>
  </si>
  <si>
    <t>ARQUITECTURA</t>
  </si>
  <si>
    <t>SOPORTE</t>
  </si>
  <si>
    <t>FABRICACIÓN</t>
  </si>
  <si>
    <t xml:space="preserve">INSTALACIÓN </t>
  </si>
  <si>
    <t>DISEÑO TABLERO</t>
  </si>
  <si>
    <t>DISEÑO MECANICO</t>
  </si>
  <si>
    <t>MATERIALES</t>
  </si>
  <si>
    <t>TOTAL 30%</t>
  </si>
  <si>
    <t>HR CAMIONETA</t>
  </si>
  <si>
    <t>GASOLINA</t>
  </si>
  <si>
    <t>ARCOSA</t>
  </si>
  <si>
    <t>3% CREDITO</t>
  </si>
  <si>
    <t>TOTAL VENTA</t>
  </si>
  <si>
    <t>TIEMPO INVEST</t>
  </si>
  <si>
    <t>SERVOMOTOR</t>
  </si>
  <si>
    <t>GASTOS S/U</t>
  </si>
  <si>
    <t>GASTOS FIJOS X HORA TOTAL</t>
  </si>
  <si>
    <t>DESCUENTO 5%</t>
  </si>
  <si>
    <t xml:space="preserve">PROVEEDOR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</si>
</sst>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44" fontId="2" fillId="0" borderId="3" xfId="1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2" borderId="3" xfId="1" applyFont="1" applyFill="1" applyBorder="1"/>
    <xf numFmtId="44" fontId="0" fillId="3" borderId="1" xfId="1" applyFont="1" applyFill="1" applyBorder="1"/>
    <xf numFmtId="44" fontId="0" fillId="3" borderId="1" xfId="1" applyFont="1" applyFill="1" applyBorder="1" applyAlignment="1">
      <alignment horizontal="center"/>
    </xf>
    <xf numFmtId="0" fontId="0" fillId="0" borderId="2" xfId="0" applyBorder="1" applyAlignment="1">
      <alignment wrapText="1"/>
    </xf>
    <xf numFmtId="44" fontId="0" fillId="4" borderId="1" xfId="1" applyFont="1" applyFill="1" applyBorder="1"/>
    <xf numFmtId="0" fontId="3" fillId="5" borderId="1" xfId="0" applyFont="1" applyFill="1" applyBorder="1" applyAlignment="1">
      <alignment horizontal="center"/>
    </xf>
    <xf numFmtId="0" fontId="0" fillId="6" borderId="1" xfId="0" applyFont="1" applyFill="1" applyBorder="1"/>
    <xf numFmtId="0" fontId="0" fillId="0" borderId="1" xfId="0" applyFont="1" applyBorder="1"/>
    <xf numFmtId="0" fontId="0" fillId="6" borderId="1" xfId="0" applyFont="1" applyFill="1" applyBorder="1" applyAlignment="1">
      <alignment wrapText="1"/>
    </xf>
    <xf numFmtId="44" fontId="0" fillId="7" borderId="1" xfId="0" applyNumberFormat="1" applyFill="1" applyBorder="1"/>
    <xf numFmtId="0" fontId="0" fillId="9" borderId="1" xfId="0" applyFont="1" applyFill="1" applyBorder="1" applyAlignment="1">
      <alignment horizontal="center"/>
    </xf>
    <xf numFmtId="44" fontId="0" fillId="8" borderId="1" xfId="1" applyFont="1" applyFill="1" applyBorder="1"/>
    <xf numFmtId="0" fontId="0" fillId="8" borderId="1" xfId="0" applyFont="1" applyFill="1" applyBorder="1" applyAlignment="1">
      <alignment horizontal="center"/>
    </xf>
    <xf numFmtId="44" fontId="0" fillId="4" borderId="1" xfId="0" applyNumberFormat="1" applyFont="1" applyFill="1" applyBorder="1"/>
    <xf numFmtId="44" fontId="4" fillId="10" borderId="1" xfId="1" applyFont="1" applyFill="1" applyBorder="1" applyAlignment="1">
      <alignment horizontal="center"/>
    </xf>
    <xf numFmtId="44" fontId="4" fillId="10" borderId="1" xfId="1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0" fontId="0" fillId="9" borderId="6" xfId="0" applyFont="1" applyFill="1" applyBorder="1" applyAlignment="1">
      <alignment horizontal="center"/>
    </xf>
    <xf numFmtId="44" fontId="0" fillId="8" borderId="6" xfId="1" applyFont="1" applyFill="1" applyBorder="1"/>
    <xf numFmtId="44" fontId="0" fillId="4" borderId="6" xfId="0" applyNumberFormat="1" applyFont="1" applyFill="1" applyBorder="1"/>
    <xf numFmtId="0" fontId="4" fillId="10" borderId="1" xfId="0" applyFont="1" applyFill="1" applyBorder="1" applyAlignment="1">
      <alignment horizontal="center" wrapText="1"/>
    </xf>
    <xf numFmtId="0" fontId="4" fillId="10" borderId="1" xfId="0" applyNumberFormat="1" applyFont="1" applyFill="1" applyBorder="1" applyAlignment="1">
      <alignment horizontal="center" wrapText="1"/>
    </xf>
    <xf numFmtId="44" fontId="0" fillId="4" borderId="1" xfId="1" applyNumberFormat="1" applyFont="1" applyFill="1" applyBorder="1"/>
    <xf numFmtId="44" fontId="0" fillId="8" borderId="1" xfId="0" applyNumberFormat="1" applyFill="1" applyBorder="1"/>
    <xf numFmtId="0" fontId="4" fillId="10" borderId="1" xfId="0" applyFont="1" applyFill="1" applyBorder="1"/>
    <xf numFmtId="0" fontId="0" fillId="0" borderId="1" xfId="0" applyFont="1" applyFill="1" applyBorder="1"/>
    <xf numFmtId="0" fontId="0" fillId="0" borderId="1" xfId="1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7" xfId="0" applyFont="1" applyFill="1" applyBorder="1"/>
    <xf numFmtId="0" fontId="4" fillId="10" borderId="7" xfId="0" applyFont="1" applyFill="1" applyBorder="1" applyAlignment="1">
      <alignment horizontal="center" wrapText="1"/>
    </xf>
    <xf numFmtId="44" fontId="0" fillId="0" borderId="0" xfId="0" applyNumberFormat="1"/>
    <xf numFmtId="44" fontId="2" fillId="0" borderId="0" xfId="1" applyFont="1"/>
    <xf numFmtId="44" fontId="2" fillId="0" borderId="0" xfId="1" applyFont="1" applyAlignment="1">
      <alignment horizontal="center"/>
    </xf>
    <xf numFmtId="44" fontId="2" fillId="3" borderId="0" xfId="1" applyFont="1" applyFill="1" applyAlignment="1">
      <alignment horizontal="center" vertical="center"/>
    </xf>
    <xf numFmtId="0" fontId="0" fillId="3" borderId="0" xfId="0" applyFill="1"/>
    <xf numFmtId="44" fontId="6" fillId="3" borderId="0" xfId="1" applyFont="1" applyFill="1" applyAlignment="1">
      <alignment horizontal="center"/>
    </xf>
    <xf numFmtId="44" fontId="6" fillId="3" borderId="0" xfId="1" applyFont="1" applyFill="1"/>
    <xf numFmtId="44" fontId="0" fillId="0" borderId="1" xfId="0" applyNumberFormat="1" applyBorder="1"/>
    <xf numFmtId="0" fontId="0" fillId="0" borderId="1" xfId="0" applyBorder="1"/>
    <xf numFmtId="43" fontId="0" fillId="0" borderId="1" xfId="2" applyFont="1" applyBorder="1" applyAlignment="1">
      <alignment horizontal="center"/>
    </xf>
    <xf numFmtId="43" fontId="0" fillId="0" borderId="1" xfId="2" applyFont="1" applyBorder="1" applyAlignment="1">
      <alignment horizontal="center" vertical="center"/>
    </xf>
    <xf numFmtId="43" fontId="0" fillId="0" borderId="1" xfId="2" applyFont="1" applyBorder="1"/>
    <xf numFmtId="0" fontId="0" fillId="8" borderId="0" xfId="0" applyFill="1"/>
    <xf numFmtId="0" fontId="0" fillId="8" borderId="0" xfId="0" applyNumberFormat="1" applyFill="1" applyAlignment="1">
      <alignment horizontal="center"/>
    </xf>
    <xf numFmtId="44" fontId="0" fillId="8" borderId="1" xfId="1" applyNumberFormat="1" applyFont="1" applyFill="1" applyBorder="1"/>
    <xf numFmtId="44" fontId="0" fillId="8" borderId="0" xfId="1" applyFont="1" applyFill="1"/>
    <xf numFmtId="44" fontId="2" fillId="3" borderId="0" xfId="1" applyFont="1" applyFill="1"/>
    <xf numFmtId="44" fontId="2" fillId="3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8" fontId="5" fillId="8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F1B84-6B99-40BA-B3BC-38CBEA1CB335}" name="Tabla1" displayName="Tabla1" ref="A1:I33" totalsRowShown="0" headerRowDxfId="12" headerRowBorderDxfId="11" tableBorderDxfId="10" totalsRowBorderDxfId="9" headerRowCellStyle="Moneda">
  <autoFilter ref="A1:I33" xr:uid="{96EF1B84-6B99-40BA-B3BC-38CBEA1CB335}"/>
  <tableColumns count="9">
    <tableColumn id="1" xr3:uid="{8F64CD93-1C10-4FBF-A31B-C5A8C6F805C0}" name="EMPRESA" dataDxfId="8"/>
    <tableColumn id="2" xr3:uid="{BFE8B1A1-8E69-4F2A-8A8D-39000F990F80}" name="KM  X2" dataDxfId="7"/>
    <tableColumn id="3" xr3:uid="{520DF1D6-78C5-4414-96F7-CD78E658F8E4}" name="LITROS" dataDxfId="6"/>
    <tableColumn id="4" xr3:uid="{7AEFDB6E-EBA1-4637-8CD4-4576E08411AF}" name="$ GASOLINA" dataDxfId="5"/>
    <tableColumn id="5" xr3:uid="{D8D62ED6-C41C-4C9B-981A-D7A42B0CF184}" name="$ GASOLINA2" dataDxfId="4" dataCellStyle="Moneda"/>
    <tableColumn id="6" xr3:uid="{5981A9BA-2F57-43F4-9210-3E5720DE1D55}" name="HRS " dataDxfId="3"/>
    <tableColumn id="7" xr3:uid="{387ADBD6-02CE-4D75-9A22-6269ED52FFF5}" name="HR DANI" dataDxfId="2" dataCellStyle="Moneda"/>
    <tableColumn id="8" xr3:uid="{EEBB027B-D031-4A8A-A878-7DA49032F1A7}" name="$ DANI" dataDxfId="1" dataCellStyle="Moneda"/>
    <tableColumn id="9" xr3:uid="{B914243C-55FB-46A2-9154-80A6E4E10ED2}" name="TOTAL 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893D-D7F7-4566-B86E-96480B500564}">
  <sheetPr>
    <pageSetUpPr fitToPage="1"/>
  </sheetPr>
  <dimension ref="A1:I33"/>
  <sheetViews>
    <sheetView workbookViewId="0">
      <selection activeCell="F2" sqref="F2:F33"/>
    </sheetView>
  </sheetViews>
  <sheetFormatPr baseColWidth="10" defaultRowHeight="15" x14ac:dyDescent="0.25"/>
  <cols>
    <col min="1" max="1" width="22.42578125" customWidth="1"/>
    <col min="2" max="2" width="12" style="1" customWidth="1"/>
    <col min="3" max="3" width="14" style="1" customWidth="1"/>
    <col min="4" max="4" width="15.5703125" style="1" customWidth="1"/>
    <col min="5" max="5" width="17.5703125" style="3" customWidth="1"/>
    <col min="6" max="6" width="10.42578125" style="1" customWidth="1"/>
    <col min="7" max="7" width="13" style="2" customWidth="1"/>
    <col min="8" max="8" width="12.140625" style="2" customWidth="1"/>
    <col min="9" max="9" width="13.42578125" style="2" customWidth="1"/>
  </cols>
  <sheetData>
    <row r="1" spans="1:9" x14ac:dyDescent="0.25">
      <c r="A1" s="8" t="s">
        <v>0</v>
      </c>
      <c r="B1" s="4" t="s">
        <v>6</v>
      </c>
      <c r="C1" s="4" t="s">
        <v>36</v>
      </c>
      <c r="D1" s="4" t="s">
        <v>1</v>
      </c>
      <c r="E1" s="5" t="s">
        <v>35</v>
      </c>
      <c r="F1" s="4" t="s">
        <v>37</v>
      </c>
      <c r="G1" s="5" t="s">
        <v>40</v>
      </c>
      <c r="H1" s="5" t="s">
        <v>39</v>
      </c>
      <c r="I1" s="10" t="s">
        <v>3</v>
      </c>
    </row>
    <row r="2" spans="1:9" x14ac:dyDescent="0.25">
      <c r="A2" s="9" t="s">
        <v>2</v>
      </c>
      <c r="B2" s="6">
        <v>226</v>
      </c>
      <c r="C2" s="6">
        <f>Tabla1[[#This Row],[KM  X2]]/9.5</f>
        <v>23.789473684210527</v>
      </c>
      <c r="D2" s="13">
        <v>24.5</v>
      </c>
      <c r="E2" s="16">
        <f>C2*D2</f>
        <v>582.84210526315792</v>
      </c>
      <c r="F2" s="6">
        <v>5</v>
      </c>
      <c r="G2" s="7">
        <v>104.16</v>
      </c>
      <c r="H2" s="15">
        <f>F2*G2</f>
        <v>520.79999999999995</v>
      </c>
      <c r="I2" s="14">
        <f>E2+H2</f>
        <v>1103.6421052631579</v>
      </c>
    </row>
    <row r="3" spans="1:9" x14ac:dyDescent="0.25">
      <c r="A3" s="9" t="s">
        <v>5</v>
      </c>
      <c r="B3" s="6">
        <v>234</v>
      </c>
      <c r="C3" s="6">
        <f>Tabla1[[#This Row],[KM  X2]]/9.5</f>
        <v>24.631578947368421</v>
      </c>
      <c r="D3" s="13">
        <v>24.5</v>
      </c>
      <c r="E3" s="16">
        <f t="shared" ref="E3:E33" si="0">C3*D3</f>
        <v>603.47368421052636</v>
      </c>
      <c r="F3" s="6">
        <v>6</v>
      </c>
      <c r="G3" s="7">
        <v>104.16</v>
      </c>
      <c r="H3" s="15">
        <f t="shared" ref="H3:H33" si="1">F3*G3</f>
        <v>624.96</v>
      </c>
      <c r="I3" s="14">
        <f t="shared" ref="I3:I33" si="2">E3+H3</f>
        <v>1228.4336842105263</v>
      </c>
    </row>
    <row r="4" spans="1:9" x14ac:dyDescent="0.25">
      <c r="A4" s="9" t="s">
        <v>7</v>
      </c>
      <c r="B4" s="6">
        <v>216</v>
      </c>
      <c r="C4" s="6">
        <f>Tabla1[[#This Row],[KM  X2]]/9.5</f>
        <v>22.736842105263158</v>
      </c>
      <c r="D4" s="13">
        <v>24.5</v>
      </c>
      <c r="E4" s="16">
        <f t="shared" si="0"/>
        <v>557.0526315789474</v>
      </c>
      <c r="F4" s="6">
        <v>5</v>
      </c>
      <c r="G4" s="7">
        <v>104.16</v>
      </c>
      <c r="H4" s="15">
        <f t="shared" si="1"/>
        <v>520.79999999999995</v>
      </c>
      <c r="I4" s="14">
        <f t="shared" si="2"/>
        <v>1077.8526315789472</v>
      </c>
    </row>
    <row r="5" spans="1:9" x14ac:dyDescent="0.25">
      <c r="A5" s="9" t="s">
        <v>8</v>
      </c>
      <c r="B5" s="6">
        <v>17.2</v>
      </c>
      <c r="C5" s="6">
        <f>Tabla1[[#This Row],[KM  X2]]/9.5</f>
        <v>1.8105263157894735</v>
      </c>
      <c r="D5" s="13">
        <v>24.5</v>
      </c>
      <c r="E5" s="16">
        <f t="shared" si="0"/>
        <v>44.357894736842098</v>
      </c>
      <c r="F5" s="6">
        <v>2</v>
      </c>
      <c r="G5" s="7">
        <v>104.16</v>
      </c>
      <c r="H5" s="15">
        <f t="shared" si="1"/>
        <v>208.32</v>
      </c>
      <c r="I5" s="14">
        <f t="shared" si="2"/>
        <v>252.67789473684209</v>
      </c>
    </row>
    <row r="6" spans="1:9" x14ac:dyDescent="0.25">
      <c r="A6" s="9" t="s">
        <v>9</v>
      </c>
      <c r="B6" s="6">
        <v>90.6</v>
      </c>
      <c r="C6" s="6">
        <f>Tabla1[[#This Row],[KM  X2]]/9.5</f>
        <v>9.5368421052631565</v>
      </c>
      <c r="D6" s="13">
        <v>24.5</v>
      </c>
      <c r="E6" s="16">
        <f t="shared" si="0"/>
        <v>233.65263157894734</v>
      </c>
      <c r="F6" s="6">
        <v>3</v>
      </c>
      <c r="G6" s="7">
        <v>104.16</v>
      </c>
      <c r="H6" s="15">
        <f t="shared" si="1"/>
        <v>312.48</v>
      </c>
      <c r="I6" s="14">
        <f t="shared" si="2"/>
        <v>546.13263157894733</v>
      </c>
    </row>
    <row r="7" spans="1:9" x14ac:dyDescent="0.25">
      <c r="A7" s="9" t="s">
        <v>10</v>
      </c>
      <c r="B7" s="6">
        <v>80</v>
      </c>
      <c r="C7" s="6">
        <f>Tabla1[[#This Row],[KM  X2]]/9.5</f>
        <v>8.4210526315789469</v>
      </c>
      <c r="D7" s="13">
        <v>24.5</v>
      </c>
      <c r="E7" s="16">
        <f t="shared" si="0"/>
        <v>206.31578947368419</v>
      </c>
      <c r="F7" s="6">
        <v>3</v>
      </c>
      <c r="G7" s="7">
        <v>104.16</v>
      </c>
      <c r="H7" s="15">
        <f t="shared" si="1"/>
        <v>312.48</v>
      </c>
      <c r="I7" s="14">
        <f t="shared" si="2"/>
        <v>518.79578947368418</v>
      </c>
    </row>
    <row r="8" spans="1:9" x14ac:dyDescent="0.25">
      <c r="A8" s="9" t="s">
        <v>11</v>
      </c>
      <c r="B8" s="6">
        <v>90.6</v>
      </c>
      <c r="C8" s="6">
        <f>Tabla1[[#This Row],[KM  X2]]/9.5</f>
        <v>9.5368421052631565</v>
      </c>
      <c r="D8" s="13">
        <v>24.5</v>
      </c>
      <c r="E8" s="16">
        <f t="shared" si="0"/>
        <v>233.65263157894734</v>
      </c>
      <c r="F8" s="6">
        <v>3</v>
      </c>
      <c r="G8" s="7">
        <v>104.16</v>
      </c>
      <c r="H8" s="15">
        <f t="shared" si="1"/>
        <v>312.48</v>
      </c>
      <c r="I8" s="14">
        <f t="shared" si="2"/>
        <v>546.13263157894733</v>
      </c>
    </row>
    <row r="9" spans="1:9" x14ac:dyDescent="0.25">
      <c r="A9" s="9" t="s">
        <v>12</v>
      </c>
      <c r="B9" s="6">
        <v>32</v>
      </c>
      <c r="C9" s="6">
        <f>Tabla1[[#This Row],[KM  X2]]/9.5</f>
        <v>3.3684210526315788</v>
      </c>
      <c r="D9" s="13">
        <v>24.5</v>
      </c>
      <c r="E9" s="16">
        <f t="shared" si="0"/>
        <v>82.526315789473685</v>
      </c>
      <c r="F9" s="6">
        <v>2</v>
      </c>
      <c r="G9" s="7">
        <v>104.16</v>
      </c>
      <c r="H9" s="15">
        <f t="shared" si="1"/>
        <v>208.32</v>
      </c>
      <c r="I9" s="14">
        <f t="shared" si="2"/>
        <v>290.84631578947369</v>
      </c>
    </row>
    <row r="10" spans="1:9" x14ac:dyDescent="0.25">
      <c r="A10" s="9" t="s">
        <v>13</v>
      </c>
      <c r="B10" s="6">
        <v>21.6</v>
      </c>
      <c r="C10" s="6">
        <f>Tabla1[[#This Row],[KM  X2]]/9.5</f>
        <v>2.2736842105263158</v>
      </c>
      <c r="D10" s="13">
        <v>24.5</v>
      </c>
      <c r="E10" s="16">
        <f t="shared" si="0"/>
        <v>55.705263157894734</v>
      </c>
      <c r="F10" s="6">
        <v>2</v>
      </c>
      <c r="G10" s="7">
        <v>104.16</v>
      </c>
      <c r="H10" s="15">
        <f t="shared" si="1"/>
        <v>208.32</v>
      </c>
      <c r="I10" s="14">
        <f t="shared" si="2"/>
        <v>264.02526315789476</v>
      </c>
    </row>
    <row r="11" spans="1:9" x14ac:dyDescent="0.25">
      <c r="A11" s="9" t="s">
        <v>4</v>
      </c>
      <c r="B11" s="6">
        <v>400</v>
      </c>
      <c r="C11" s="6">
        <f>Tabla1[[#This Row],[KM  X2]]/9.5</f>
        <v>42.10526315789474</v>
      </c>
      <c r="D11" s="13">
        <v>24.5</v>
      </c>
      <c r="E11" s="16">
        <f>C11*D11</f>
        <v>1031.578947368421</v>
      </c>
      <c r="F11" s="6">
        <v>7</v>
      </c>
      <c r="G11" s="7">
        <v>104.16</v>
      </c>
      <c r="H11" s="15">
        <f>F11*G11</f>
        <v>729.12</v>
      </c>
      <c r="I11" s="14">
        <f>E11+H11</f>
        <v>1760.6989473684212</v>
      </c>
    </row>
    <row r="12" spans="1:9" x14ac:dyDescent="0.25">
      <c r="A12" s="9" t="s">
        <v>14</v>
      </c>
      <c r="B12" s="6">
        <v>402</v>
      </c>
      <c r="C12" s="6">
        <f>Tabla1[[#This Row],[KM  X2]]/9.5</f>
        <v>42.315789473684212</v>
      </c>
      <c r="D12" s="13">
        <v>24.5</v>
      </c>
      <c r="E12" s="16">
        <f t="shared" si="0"/>
        <v>1036.7368421052631</v>
      </c>
      <c r="F12" s="6">
        <v>8</v>
      </c>
      <c r="G12" s="7">
        <v>104.16</v>
      </c>
      <c r="H12" s="15">
        <f t="shared" si="1"/>
        <v>833.28</v>
      </c>
      <c r="I12" s="14">
        <f t="shared" si="2"/>
        <v>1870.0168421052631</v>
      </c>
    </row>
    <row r="13" spans="1:9" x14ac:dyDescent="0.25">
      <c r="A13" s="9" t="s">
        <v>15</v>
      </c>
      <c r="B13" s="6">
        <v>79.400000000000006</v>
      </c>
      <c r="C13" s="6">
        <f>Tabla1[[#This Row],[KM  X2]]/9.5</f>
        <v>8.3578947368421055</v>
      </c>
      <c r="D13" s="13">
        <v>24.5</v>
      </c>
      <c r="E13" s="16">
        <f t="shared" si="0"/>
        <v>204.7684210526316</v>
      </c>
      <c r="F13" s="6">
        <v>3</v>
      </c>
      <c r="G13" s="7">
        <v>104.16</v>
      </c>
      <c r="H13" s="15">
        <f t="shared" si="1"/>
        <v>312.48</v>
      </c>
      <c r="I13" s="14">
        <f t="shared" si="2"/>
        <v>517.24842105263156</v>
      </c>
    </row>
    <row r="14" spans="1:9" x14ac:dyDescent="0.25">
      <c r="A14" s="9" t="s">
        <v>16</v>
      </c>
      <c r="B14" s="6">
        <v>23.6</v>
      </c>
      <c r="C14" s="6">
        <f>Tabla1[[#This Row],[KM  X2]]/9.5</f>
        <v>2.4842105263157896</v>
      </c>
      <c r="D14" s="13">
        <v>24.5</v>
      </c>
      <c r="E14" s="16">
        <f t="shared" si="0"/>
        <v>60.863157894736844</v>
      </c>
      <c r="F14" s="6">
        <v>3</v>
      </c>
      <c r="G14" s="7">
        <v>104.16</v>
      </c>
      <c r="H14" s="15">
        <f t="shared" si="1"/>
        <v>312.48</v>
      </c>
      <c r="I14" s="14">
        <f t="shared" si="2"/>
        <v>373.34315789473686</v>
      </c>
    </row>
    <row r="15" spans="1:9" x14ac:dyDescent="0.25">
      <c r="A15" s="9" t="s">
        <v>17</v>
      </c>
      <c r="B15" s="6">
        <v>386</v>
      </c>
      <c r="C15" s="6">
        <f>Tabla1[[#This Row],[KM  X2]]/9.5</f>
        <v>40.631578947368418</v>
      </c>
      <c r="D15" s="13">
        <v>24.5</v>
      </c>
      <c r="E15" s="16">
        <f t="shared" si="0"/>
        <v>995.47368421052624</v>
      </c>
      <c r="F15" s="6">
        <v>7</v>
      </c>
      <c r="G15" s="7">
        <v>104.16</v>
      </c>
      <c r="H15" s="15">
        <f t="shared" si="1"/>
        <v>729.12</v>
      </c>
      <c r="I15" s="14">
        <f t="shared" si="2"/>
        <v>1724.5936842105261</v>
      </c>
    </row>
    <row r="16" spans="1:9" x14ac:dyDescent="0.25">
      <c r="A16" s="9" t="s">
        <v>18</v>
      </c>
      <c r="B16" s="6">
        <v>73.8</v>
      </c>
      <c r="C16" s="6">
        <f>Tabla1[[#This Row],[KM  X2]]/9.5</f>
        <v>7.7684210526315782</v>
      </c>
      <c r="D16" s="13">
        <v>24.5</v>
      </c>
      <c r="E16" s="16">
        <f t="shared" si="0"/>
        <v>190.32631578947365</v>
      </c>
      <c r="F16" s="6">
        <v>3</v>
      </c>
      <c r="G16" s="7">
        <v>104.16</v>
      </c>
      <c r="H16" s="15">
        <f t="shared" si="1"/>
        <v>312.48</v>
      </c>
      <c r="I16" s="14">
        <f t="shared" si="2"/>
        <v>502.80631578947367</v>
      </c>
    </row>
    <row r="17" spans="1:9" x14ac:dyDescent="0.25">
      <c r="A17" s="9" t="s">
        <v>19</v>
      </c>
      <c r="B17" s="6">
        <v>58.4</v>
      </c>
      <c r="C17" s="6">
        <f>Tabla1[[#This Row],[KM  X2]]/9.5</f>
        <v>6.1473684210526311</v>
      </c>
      <c r="D17" s="13">
        <v>24.5</v>
      </c>
      <c r="E17" s="16">
        <f t="shared" si="0"/>
        <v>150.61052631578946</v>
      </c>
      <c r="F17" s="6">
        <v>3</v>
      </c>
      <c r="G17" s="7">
        <v>104.16</v>
      </c>
      <c r="H17" s="15">
        <f t="shared" si="1"/>
        <v>312.48</v>
      </c>
      <c r="I17" s="14">
        <f t="shared" si="2"/>
        <v>463.09052631578948</v>
      </c>
    </row>
    <row r="18" spans="1:9" x14ac:dyDescent="0.25">
      <c r="A18" s="9" t="s">
        <v>20</v>
      </c>
      <c r="B18" s="6">
        <v>61.4</v>
      </c>
      <c r="C18" s="6">
        <f>Tabla1[[#This Row],[KM  X2]]/9.5</f>
        <v>6.4631578947368418</v>
      </c>
      <c r="D18" s="13">
        <v>24.5</v>
      </c>
      <c r="E18" s="16">
        <f t="shared" si="0"/>
        <v>158.34736842105264</v>
      </c>
      <c r="F18" s="6">
        <v>3</v>
      </c>
      <c r="G18" s="7">
        <v>104.16</v>
      </c>
      <c r="H18" s="15">
        <f t="shared" si="1"/>
        <v>312.48</v>
      </c>
      <c r="I18" s="14">
        <f t="shared" si="2"/>
        <v>470.82736842105265</v>
      </c>
    </row>
    <row r="19" spans="1:9" x14ac:dyDescent="0.25">
      <c r="A19" s="9" t="s">
        <v>21</v>
      </c>
      <c r="B19" s="6">
        <v>16.2</v>
      </c>
      <c r="C19" s="6">
        <f>Tabla1[[#This Row],[KM  X2]]/9.5</f>
        <v>1.7052631578947368</v>
      </c>
      <c r="D19" s="13">
        <v>24.5</v>
      </c>
      <c r="E19" s="16">
        <f t="shared" si="0"/>
        <v>41.778947368421051</v>
      </c>
      <c r="F19" s="6">
        <v>2</v>
      </c>
      <c r="G19" s="7">
        <v>104.16</v>
      </c>
      <c r="H19" s="15">
        <f t="shared" si="1"/>
        <v>208.32</v>
      </c>
      <c r="I19" s="14">
        <f t="shared" si="2"/>
        <v>250.09894736842105</v>
      </c>
    </row>
    <row r="20" spans="1:9" x14ac:dyDescent="0.25">
      <c r="A20" s="9" t="s">
        <v>22</v>
      </c>
      <c r="B20" s="6">
        <v>12</v>
      </c>
      <c r="C20" s="6">
        <f>Tabla1[[#This Row],[KM  X2]]/9.5</f>
        <v>1.263157894736842</v>
      </c>
      <c r="D20" s="13">
        <v>24.5</v>
      </c>
      <c r="E20" s="16">
        <f t="shared" si="0"/>
        <v>30.94736842105263</v>
      </c>
      <c r="F20" s="6">
        <v>2</v>
      </c>
      <c r="G20" s="7">
        <v>104.16</v>
      </c>
      <c r="H20" s="15">
        <f t="shared" si="1"/>
        <v>208.32</v>
      </c>
      <c r="I20" s="14">
        <f t="shared" si="2"/>
        <v>239.26736842105262</v>
      </c>
    </row>
    <row r="21" spans="1:9" x14ac:dyDescent="0.25">
      <c r="A21" s="9" t="s">
        <v>23</v>
      </c>
      <c r="B21" s="6">
        <v>59.8</v>
      </c>
      <c r="C21" s="6">
        <f>Tabla1[[#This Row],[KM  X2]]/9.5</f>
        <v>6.2947368421052632</v>
      </c>
      <c r="D21" s="13">
        <v>24.5</v>
      </c>
      <c r="E21" s="16">
        <f t="shared" si="0"/>
        <v>154.22105263157894</v>
      </c>
      <c r="F21" s="6">
        <v>3</v>
      </c>
      <c r="G21" s="7">
        <v>104.16</v>
      </c>
      <c r="H21" s="15">
        <f t="shared" si="1"/>
        <v>312.48</v>
      </c>
      <c r="I21" s="14">
        <f t="shared" si="2"/>
        <v>466.70105263157893</v>
      </c>
    </row>
    <row r="22" spans="1:9" x14ac:dyDescent="0.25">
      <c r="A22" s="9" t="s">
        <v>24</v>
      </c>
      <c r="B22" s="6">
        <v>125.4</v>
      </c>
      <c r="C22" s="6">
        <f>Tabla1[[#This Row],[KM  X2]]/9.5</f>
        <v>13.200000000000001</v>
      </c>
      <c r="D22" s="13">
        <v>24.5</v>
      </c>
      <c r="E22" s="16">
        <f t="shared" si="0"/>
        <v>323.40000000000003</v>
      </c>
      <c r="F22" s="6">
        <v>4</v>
      </c>
      <c r="G22" s="7">
        <v>104.16</v>
      </c>
      <c r="H22" s="15">
        <f t="shared" si="1"/>
        <v>416.64</v>
      </c>
      <c r="I22" s="14">
        <f t="shared" si="2"/>
        <v>740.04</v>
      </c>
    </row>
    <row r="23" spans="1:9" x14ac:dyDescent="0.25">
      <c r="A23" s="9" t="s">
        <v>25</v>
      </c>
      <c r="B23" s="6">
        <v>41.6</v>
      </c>
      <c r="C23" s="6">
        <f>Tabla1[[#This Row],[KM  X2]]/9.5</f>
        <v>4.3789473684210529</v>
      </c>
      <c r="D23" s="13">
        <v>24.5</v>
      </c>
      <c r="E23" s="16">
        <f t="shared" si="0"/>
        <v>107.2842105263158</v>
      </c>
      <c r="F23" s="6">
        <v>3</v>
      </c>
      <c r="G23" s="7">
        <v>104.16</v>
      </c>
      <c r="H23" s="15">
        <f t="shared" si="1"/>
        <v>312.48</v>
      </c>
      <c r="I23" s="14">
        <f t="shared" si="2"/>
        <v>419.76421052631582</v>
      </c>
    </row>
    <row r="24" spans="1:9" x14ac:dyDescent="0.25">
      <c r="A24" s="9" t="s">
        <v>26</v>
      </c>
      <c r="B24" s="6">
        <v>157</v>
      </c>
      <c r="C24" s="6">
        <f>Tabla1[[#This Row],[KM  X2]]/9.5</f>
        <v>16.526315789473685</v>
      </c>
      <c r="D24" s="13">
        <v>24.5</v>
      </c>
      <c r="E24" s="16">
        <f t="shared" si="0"/>
        <v>404.89473684210526</v>
      </c>
      <c r="F24" s="6">
        <v>4</v>
      </c>
      <c r="G24" s="7">
        <v>104.16</v>
      </c>
      <c r="H24" s="15">
        <f t="shared" si="1"/>
        <v>416.64</v>
      </c>
      <c r="I24" s="14">
        <f t="shared" si="2"/>
        <v>821.5347368421053</v>
      </c>
    </row>
    <row r="25" spans="1:9" x14ac:dyDescent="0.25">
      <c r="A25" s="9" t="s">
        <v>27</v>
      </c>
      <c r="B25" s="6">
        <v>138.6</v>
      </c>
      <c r="C25" s="6">
        <f>Tabla1[[#This Row],[KM  X2]]/9.5</f>
        <v>14.589473684210526</v>
      </c>
      <c r="D25" s="13">
        <v>24.5</v>
      </c>
      <c r="E25" s="16">
        <f t="shared" si="0"/>
        <v>357.44210526315788</v>
      </c>
      <c r="F25" s="6">
        <v>4</v>
      </c>
      <c r="G25" s="7">
        <v>104.16</v>
      </c>
      <c r="H25" s="15">
        <f t="shared" si="1"/>
        <v>416.64</v>
      </c>
      <c r="I25" s="14">
        <f t="shared" si="2"/>
        <v>774.08210526315793</v>
      </c>
    </row>
    <row r="26" spans="1:9" x14ac:dyDescent="0.25">
      <c r="A26" s="11" t="s">
        <v>28</v>
      </c>
      <c r="B26" s="12">
        <v>61</v>
      </c>
      <c r="C26" s="6">
        <f>Tabla1[[#This Row],[KM  X2]]/9.5</f>
        <v>6.4210526315789478</v>
      </c>
      <c r="D26" s="13">
        <v>24.5</v>
      </c>
      <c r="E26" s="16">
        <f t="shared" si="0"/>
        <v>157.31578947368422</v>
      </c>
      <c r="F26" s="12">
        <v>3</v>
      </c>
      <c r="G26" s="7">
        <v>104.16</v>
      </c>
      <c r="H26" s="15">
        <f t="shared" si="1"/>
        <v>312.48</v>
      </c>
      <c r="I26" s="14">
        <f t="shared" si="2"/>
        <v>469.79578947368424</v>
      </c>
    </row>
    <row r="27" spans="1:9" x14ac:dyDescent="0.25">
      <c r="A27" s="9" t="s">
        <v>29</v>
      </c>
      <c r="B27" s="6">
        <v>5</v>
      </c>
      <c r="C27" s="6">
        <f>Tabla1[[#This Row],[KM  X2]]/9.5</f>
        <v>0.52631578947368418</v>
      </c>
      <c r="D27" s="13">
        <v>24.5</v>
      </c>
      <c r="E27" s="16">
        <f t="shared" si="0"/>
        <v>12.894736842105262</v>
      </c>
      <c r="F27" s="6">
        <v>1</v>
      </c>
      <c r="G27" s="7">
        <v>104.16</v>
      </c>
      <c r="H27" s="15">
        <f t="shared" si="1"/>
        <v>104.16</v>
      </c>
      <c r="I27" s="14">
        <f t="shared" si="2"/>
        <v>117.05473684210526</v>
      </c>
    </row>
    <row r="28" spans="1:9" x14ac:dyDescent="0.25">
      <c r="A28" s="9" t="s">
        <v>30</v>
      </c>
      <c r="B28" s="6">
        <v>28.2</v>
      </c>
      <c r="C28" s="6">
        <f>Tabla1[[#This Row],[KM  X2]]/9.5</f>
        <v>2.9684210526315788</v>
      </c>
      <c r="D28" s="13">
        <v>24.5</v>
      </c>
      <c r="E28" s="16">
        <f t="shared" si="0"/>
        <v>72.726315789473688</v>
      </c>
      <c r="F28" s="6">
        <v>3</v>
      </c>
      <c r="G28" s="7">
        <v>104.16</v>
      </c>
      <c r="H28" s="15">
        <f t="shared" si="1"/>
        <v>312.48</v>
      </c>
      <c r="I28" s="14">
        <f t="shared" si="2"/>
        <v>385.20631578947371</v>
      </c>
    </row>
    <row r="29" spans="1:9" x14ac:dyDescent="0.25">
      <c r="A29" s="9" t="s">
        <v>31</v>
      </c>
      <c r="B29" s="6">
        <v>61.6</v>
      </c>
      <c r="C29" s="6">
        <f>Tabla1[[#This Row],[KM  X2]]/9.5</f>
        <v>6.4842105263157892</v>
      </c>
      <c r="D29" s="13">
        <v>24.5</v>
      </c>
      <c r="E29" s="16">
        <f t="shared" si="0"/>
        <v>158.86315789473684</v>
      </c>
      <c r="F29" s="6">
        <v>3</v>
      </c>
      <c r="G29" s="7">
        <v>104.16</v>
      </c>
      <c r="H29" s="15">
        <f t="shared" si="1"/>
        <v>312.48</v>
      </c>
      <c r="I29" s="14">
        <f t="shared" si="2"/>
        <v>471.34315789473686</v>
      </c>
    </row>
    <row r="30" spans="1:9" x14ac:dyDescent="0.25">
      <c r="A30" s="17" t="s">
        <v>38</v>
      </c>
      <c r="B30" s="6">
        <v>14.6</v>
      </c>
      <c r="C30" s="6">
        <f>Tabla1[[#This Row],[KM  X2]]/9.5</f>
        <v>1.5368421052631578</v>
      </c>
      <c r="D30" s="13">
        <v>24.5</v>
      </c>
      <c r="E30" s="16">
        <f t="shared" si="0"/>
        <v>37.652631578947364</v>
      </c>
      <c r="F30" s="6">
        <v>2</v>
      </c>
      <c r="G30" s="7">
        <v>104.16</v>
      </c>
      <c r="H30" s="15">
        <f t="shared" si="1"/>
        <v>208.32</v>
      </c>
      <c r="I30" s="14">
        <f t="shared" si="2"/>
        <v>245.97263157894736</v>
      </c>
    </row>
    <row r="31" spans="1:9" x14ac:dyDescent="0.25">
      <c r="A31" s="9" t="s">
        <v>32</v>
      </c>
      <c r="B31" s="6">
        <v>392</v>
      </c>
      <c r="C31" s="6">
        <f>Tabla1[[#This Row],[KM  X2]]/9.5</f>
        <v>41.263157894736842</v>
      </c>
      <c r="D31" s="13">
        <v>24.5</v>
      </c>
      <c r="E31" s="16">
        <f t="shared" si="0"/>
        <v>1010.9473684210526</v>
      </c>
      <c r="F31" s="6">
        <v>8</v>
      </c>
      <c r="G31" s="7">
        <v>104.16</v>
      </c>
      <c r="H31" s="15">
        <f t="shared" si="1"/>
        <v>833.28</v>
      </c>
      <c r="I31" s="14">
        <f t="shared" si="2"/>
        <v>1844.2273684210527</v>
      </c>
    </row>
    <row r="32" spans="1:9" x14ac:dyDescent="0.25">
      <c r="A32" s="9" t="s">
        <v>33</v>
      </c>
      <c r="B32" s="6">
        <v>26</v>
      </c>
      <c r="C32" s="6">
        <f>Tabla1[[#This Row],[KM  X2]]/9.5</f>
        <v>2.736842105263158</v>
      </c>
      <c r="D32" s="13">
        <v>24.5</v>
      </c>
      <c r="E32" s="16">
        <f t="shared" si="0"/>
        <v>67.05263157894737</v>
      </c>
      <c r="F32" s="6">
        <v>2</v>
      </c>
      <c r="G32" s="7">
        <v>104.16</v>
      </c>
      <c r="H32" s="15">
        <f t="shared" si="1"/>
        <v>208.32</v>
      </c>
      <c r="I32" s="14">
        <f t="shared" si="2"/>
        <v>275.37263157894733</v>
      </c>
    </row>
    <row r="33" spans="1:9" x14ac:dyDescent="0.25">
      <c r="A33" s="9" t="s">
        <v>34</v>
      </c>
      <c r="B33" s="6">
        <v>29.2</v>
      </c>
      <c r="C33" s="6">
        <f>Tabla1[[#This Row],[KM  X2]]/9.5</f>
        <v>3.0736842105263156</v>
      </c>
      <c r="D33" s="13">
        <v>24.5</v>
      </c>
      <c r="E33" s="16">
        <f t="shared" si="0"/>
        <v>75.305263157894728</v>
      </c>
      <c r="F33" s="6">
        <v>2</v>
      </c>
      <c r="G33" s="7">
        <v>104.16</v>
      </c>
      <c r="H33" s="15">
        <f t="shared" si="1"/>
        <v>208.32</v>
      </c>
      <c r="I33" s="14">
        <f t="shared" si="2"/>
        <v>283.62526315789472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E172-0268-4FFD-A6C7-ACD82FDE298F}">
  <sheetPr>
    <pageSetUpPr fitToPage="1"/>
  </sheetPr>
  <dimension ref="A1:R61"/>
  <sheetViews>
    <sheetView zoomScale="90" zoomScaleNormal="90" workbookViewId="0">
      <selection activeCell="H1" sqref="H1"/>
    </sheetView>
  </sheetViews>
  <sheetFormatPr baseColWidth="10" defaultRowHeight="15" x14ac:dyDescent="0.25"/>
  <cols>
    <col min="1" max="1" width="21.5703125" customWidth="1"/>
    <col min="2" max="2" width="9.28515625" style="3" customWidth="1"/>
    <col min="3" max="3" width="14.28515625" customWidth="1"/>
    <col min="4" max="4" width="11.140625" customWidth="1"/>
    <col min="5" max="5" width="11.85546875" customWidth="1"/>
    <col min="6" max="6" width="11" style="42" customWidth="1"/>
    <col min="7" max="7" width="12.140625" customWidth="1"/>
    <col min="8" max="8" width="15" customWidth="1"/>
    <col min="9" max="9" width="15.5703125" style="2" customWidth="1"/>
    <col min="10" max="10" width="13.85546875" style="2" customWidth="1"/>
    <col min="11" max="11" width="18.42578125" customWidth="1"/>
    <col min="12" max="12" width="14.28515625" customWidth="1"/>
    <col min="13" max="13" width="15.7109375" customWidth="1"/>
  </cols>
  <sheetData>
    <row r="1" spans="1:18" ht="27.75" customHeight="1" x14ac:dyDescent="0.25">
      <c r="C1" s="50">
        <v>30</v>
      </c>
      <c r="D1" s="62">
        <v>87</v>
      </c>
      <c r="E1" s="63"/>
      <c r="F1" s="62">
        <v>80</v>
      </c>
      <c r="G1" s="47"/>
      <c r="H1" s="62">
        <v>161.85</v>
      </c>
      <c r="I1" s="47"/>
      <c r="J1" s="62">
        <v>52.67</v>
      </c>
      <c r="O1" s="57"/>
      <c r="P1" s="57"/>
      <c r="Q1" s="57"/>
      <c r="R1" s="57"/>
    </row>
    <row r="2" spans="1:18" ht="30" x14ac:dyDescent="0.25">
      <c r="A2" s="19" t="s">
        <v>0</v>
      </c>
      <c r="B2" s="29" t="s">
        <v>46</v>
      </c>
      <c r="C2" s="34" t="s">
        <v>84</v>
      </c>
      <c r="D2" s="28" t="s">
        <v>41</v>
      </c>
      <c r="E2" s="30" t="s">
        <v>42</v>
      </c>
      <c r="F2" s="35" t="s">
        <v>44</v>
      </c>
      <c r="G2" s="30" t="s">
        <v>42</v>
      </c>
      <c r="H2" s="34" t="s">
        <v>91</v>
      </c>
      <c r="I2" s="28" t="s">
        <v>43</v>
      </c>
      <c r="J2" s="29" t="s">
        <v>45</v>
      </c>
      <c r="K2" s="30" t="s">
        <v>47</v>
      </c>
      <c r="L2" s="34" t="s">
        <v>56</v>
      </c>
      <c r="M2" s="38" t="s">
        <v>48</v>
      </c>
      <c r="O2" s="57"/>
      <c r="P2" s="57"/>
      <c r="Q2" s="57"/>
      <c r="R2" s="57"/>
    </row>
    <row r="3" spans="1:18" x14ac:dyDescent="0.25">
      <c r="A3" s="20" t="s">
        <v>2</v>
      </c>
      <c r="B3" s="31">
        <v>5</v>
      </c>
      <c r="C3" s="52">
        <f>((100*2)/10)*$C$1</f>
        <v>600</v>
      </c>
      <c r="D3" s="32">
        <f>B3*$D$1</f>
        <v>435</v>
      </c>
      <c r="E3" s="33">
        <f>C3+D3</f>
        <v>1035</v>
      </c>
      <c r="F3" s="40">
        <v>16</v>
      </c>
      <c r="G3" s="18">
        <f>F3*$F$1</f>
        <v>1280</v>
      </c>
      <c r="H3" s="36">
        <f>F3*$H$1</f>
        <v>2589.6</v>
      </c>
      <c r="I3" s="7">
        <v>5000</v>
      </c>
      <c r="J3" s="18">
        <f>B3*$J$1</f>
        <v>263.35000000000002</v>
      </c>
      <c r="K3" s="37">
        <f>E3+G3+H3+I3+J3</f>
        <v>10167.950000000001</v>
      </c>
      <c r="L3" s="23">
        <f>K3*1.4</f>
        <v>14235.130000000001</v>
      </c>
      <c r="M3" s="23">
        <f>L3*1.03</f>
        <v>14662.183900000002</v>
      </c>
      <c r="O3" s="57"/>
      <c r="P3" s="57"/>
      <c r="Q3" s="57"/>
      <c r="R3" s="57"/>
    </row>
    <row r="4" spans="1:18" x14ac:dyDescent="0.25">
      <c r="A4" s="21" t="s">
        <v>50</v>
      </c>
      <c r="B4" s="26">
        <v>5</v>
      </c>
      <c r="C4" s="52">
        <f t="shared" ref="C4:C5" si="0">((100*2)/10)*$C$1</f>
        <v>600</v>
      </c>
      <c r="D4" s="32">
        <f t="shared" ref="D4:D52" si="1">B4*$D$1</f>
        <v>435</v>
      </c>
      <c r="E4" s="33">
        <f>C4+D4</f>
        <v>1035</v>
      </c>
      <c r="F4" s="40"/>
      <c r="G4" s="18">
        <f t="shared" ref="G4:G52" si="2">F4*$F$1</f>
        <v>0</v>
      </c>
      <c r="H4" s="36">
        <f t="shared" ref="H4:H52" si="3">F4*$H$1</f>
        <v>0</v>
      </c>
      <c r="I4" s="7"/>
      <c r="J4" s="18">
        <f t="shared" ref="J4:J52" si="4">B4*$J$1</f>
        <v>263.35000000000002</v>
      </c>
      <c r="K4" s="37">
        <f t="shared" ref="K4:K52" si="5">E4+G4+H4+I4+J4</f>
        <v>1298.3499999999999</v>
      </c>
      <c r="L4" s="23">
        <f t="shared" ref="L4:L34" si="6">K4*1.4</f>
        <v>1817.6899999999998</v>
      </c>
      <c r="M4" s="23">
        <f t="shared" ref="M4:M34" si="7">L4*1.03</f>
        <v>1872.2206999999999</v>
      </c>
      <c r="O4" s="57"/>
      <c r="P4" s="57"/>
      <c r="Q4" s="57"/>
      <c r="R4" s="57"/>
    </row>
    <row r="5" spans="1:18" x14ac:dyDescent="0.25">
      <c r="A5" s="20" t="s">
        <v>7</v>
      </c>
      <c r="B5" s="24">
        <v>5</v>
      </c>
      <c r="C5" s="52">
        <f t="shared" si="0"/>
        <v>600</v>
      </c>
      <c r="D5" s="32">
        <f t="shared" si="1"/>
        <v>435</v>
      </c>
      <c r="E5" s="33">
        <f t="shared" ref="E5:E51" si="8">C5+D5</f>
        <v>1035</v>
      </c>
      <c r="F5" s="40"/>
      <c r="G5" s="18">
        <f t="shared" si="2"/>
        <v>0</v>
      </c>
      <c r="H5" s="36">
        <f t="shared" si="3"/>
        <v>0</v>
      </c>
      <c r="I5" s="7"/>
      <c r="J5" s="18">
        <f t="shared" si="4"/>
        <v>263.35000000000002</v>
      </c>
      <c r="K5" s="37">
        <f t="shared" si="5"/>
        <v>1298.3499999999999</v>
      </c>
      <c r="L5" s="23">
        <f t="shared" si="6"/>
        <v>1817.6899999999998</v>
      </c>
      <c r="M5" s="23">
        <f t="shared" si="7"/>
        <v>1872.2206999999999</v>
      </c>
      <c r="O5" s="64"/>
      <c r="P5" s="64"/>
      <c r="Q5" s="64"/>
      <c r="R5" s="64"/>
    </row>
    <row r="6" spans="1:18" x14ac:dyDescent="0.25">
      <c r="A6" s="21" t="s">
        <v>8</v>
      </c>
      <c r="B6" s="26">
        <v>2</v>
      </c>
      <c r="C6" s="52">
        <f>((10*2)/10)*C1</f>
        <v>60</v>
      </c>
      <c r="D6" s="32">
        <f t="shared" si="1"/>
        <v>174</v>
      </c>
      <c r="E6" s="33">
        <f t="shared" si="8"/>
        <v>234</v>
      </c>
      <c r="F6" s="40"/>
      <c r="G6" s="18">
        <f t="shared" si="2"/>
        <v>0</v>
      </c>
      <c r="H6" s="36">
        <f t="shared" si="3"/>
        <v>0</v>
      </c>
      <c r="I6" s="7"/>
      <c r="J6" s="18">
        <f t="shared" si="4"/>
        <v>105.34</v>
      </c>
      <c r="K6" s="37">
        <f t="shared" si="5"/>
        <v>339.34000000000003</v>
      </c>
      <c r="L6" s="23">
        <f t="shared" si="6"/>
        <v>475.07600000000002</v>
      </c>
      <c r="M6" s="23">
        <f t="shared" si="7"/>
        <v>489.32828000000006</v>
      </c>
      <c r="O6" s="57"/>
      <c r="P6" s="65"/>
      <c r="Q6" s="66"/>
      <c r="R6" s="57"/>
    </row>
    <row r="7" spans="1:18" x14ac:dyDescent="0.25">
      <c r="A7" s="20" t="s">
        <v>9</v>
      </c>
      <c r="B7" s="24">
        <v>3</v>
      </c>
      <c r="C7" s="52">
        <f>((45*2)/10)*$C$1</f>
        <v>270</v>
      </c>
      <c r="D7" s="32">
        <f t="shared" si="1"/>
        <v>261</v>
      </c>
      <c r="E7" s="33">
        <f t="shared" si="8"/>
        <v>531</v>
      </c>
      <c r="F7" s="40"/>
      <c r="G7" s="18">
        <f t="shared" si="2"/>
        <v>0</v>
      </c>
      <c r="H7" s="36">
        <f t="shared" si="3"/>
        <v>0</v>
      </c>
      <c r="I7" s="7"/>
      <c r="J7" s="18">
        <f t="shared" si="4"/>
        <v>158.01</v>
      </c>
      <c r="K7" s="37">
        <f t="shared" si="5"/>
        <v>689.01</v>
      </c>
      <c r="L7" s="23">
        <f t="shared" si="6"/>
        <v>964.61399999999992</v>
      </c>
      <c r="M7" s="23">
        <f t="shared" si="7"/>
        <v>993.55241999999998</v>
      </c>
      <c r="O7" s="57"/>
      <c r="P7" s="66"/>
      <c r="Q7" s="66"/>
      <c r="R7" s="57"/>
    </row>
    <row r="8" spans="1:18" x14ac:dyDescent="0.25">
      <c r="A8" s="21" t="s">
        <v>10</v>
      </c>
      <c r="B8" s="26">
        <v>3</v>
      </c>
      <c r="C8" s="52">
        <f>((40*2)/10)*$C$1</f>
        <v>240</v>
      </c>
      <c r="D8" s="32">
        <f t="shared" si="1"/>
        <v>261</v>
      </c>
      <c r="E8" s="33">
        <f t="shared" si="8"/>
        <v>501</v>
      </c>
      <c r="F8" s="40"/>
      <c r="G8" s="18">
        <f t="shared" si="2"/>
        <v>0</v>
      </c>
      <c r="H8" s="36">
        <f t="shared" si="3"/>
        <v>0</v>
      </c>
      <c r="I8" s="7"/>
      <c r="J8" s="18">
        <f t="shared" si="4"/>
        <v>158.01</v>
      </c>
      <c r="K8" s="37">
        <f t="shared" si="5"/>
        <v>659.01</v>
      </c>
      <c r="L8" s="23">
        <f t="shared" si="6"/>
        <v>922.61399999999992</v>
      </c>
      <c r="M8" s="23">
        <f t="shared" si="7"/>
        <v>950.29241999999999</v>
      </c>
      <c r="O8" s="57"/>
      <c r="P8" s="57"/>
      <c r="Q8" s="57"/>
      <c r="R8" s="57"/>
    </row>
    <row r="9" spans="1:18" x14ac:dyDescent="0.25">
      <c r="A9" s="20" t="s">
        <v>11</v>
      </c>
      <c r="B9" s="24">
        <v>3</v>
      </c>
      <c r="C9" s="52">
        <f>((45*2)/10)*$C$1</f>
        <v>270</v>
      </c>
      <c r="D9" s="32">
        <f t="shared" si="1"/>
        <v>261</v>
      </c>
      <c r="E9" s="33">
        <f t="shared" si="8"/>
        <v>531</v>
      </c>
      <c r="F9" s="40"/>
      <c r="G9" s="18">
        <f t="shared" si="2"/>
        <v>0</v>
      </c>
      <c r="H9" s="36">
        <f t="shared" si="3"/>
        <v>0</v>
      </c>
      <c r="I9" s="7"/>
      <c r="J9" s="18">
        <f t="shared" si="4"/>
        <v>158.01</v>
      </c>
      <c r="K9" s="37">
        <f t="shared" si="5"/>
        <v>689.01</v>
      </c>
      <c r="L9" s="23">
        <f t="shared" si="6"/>
        <v>964.61399999999992</v>
      </c>
      <c r="M9" s="23">
        <f t="shared" si="7"/>
        <v>993.55241999999998</v>
      </c>
      <c r="O9" s="64"/>
      <c r="P9" s="64"/>
      <c r="Q9" s="64"/>
      <c r="R9" s="64"/>
    </row>
    <row r="10" spans="1:18" ht="26.25" x14ac:dyDescent="0.25">
      <c r="A10" s="21" t="s">
        <v>12</v>
      </c>
      <c r="B10" s="26">
        <v>2</v>
      </c>
      <c r="C10" s="52">
        <f>((16*2)/10)*$C$1</f>
        <v>96</v>
      </c>
      <c r="D10" s="32">
        <f t="shared" si="1"/>
        <v>174</v>
      </c>
      <c r="E10" s="33">
        <f t="shared" si="8"/>
        <v>270</v>
      </c>
      <c r="F10" s="40"/>
      <c r="G10" s="18">
        <f t="shared" si="2"/>
        <v>0</v>
      </c>
      <c r="H10" s="36">
        <f t="shared" si="3"/>
        <v>0</v>
      </c>
      <c r="I10" s="7"/>
      <c r="J10" s="18">
        <f t="shared" si="4"/>
        <v>105.34</v>
      </c>
      <c r="K10" s="37">
        <f t="shared" si="5"/>
        <v>375.34000000000003</v>
      </c>
      <c r="L10" s="23">
        <f t="shared" si="6"/>
        <v>525.476</v>
      </c>
      <c r="M10" s="23">
        <f t="shared" si="7"/>
        <v>541.24027999999998</v>
      </c>
      <c r="O10" s="57"/>
      <c r="P10" s="65"/>
      <c r="Q10" s="66"/>
      <c r="R10" s="57"/>
    </row>
    <row r="11" spans="1:18" x14ac:dyDescent="0.25">
      <c r="A11" s="21" t="s">
        <v>49</v>
      </c>
      <c r="B11" s="24">
        <v>5</v>
      </c>
      <c r="C11" s="52">
        <f>((200*2)/10)*$C$1</f>
        <v>1200</v>
      </c>
      <c r="D11" s="32">
        <f t="shared" si="1"/>
        <v>435</v>
      </c>
      <c r="E11" s="33">
        <f t="shared" si="8"/>
        <v>1635</v>
      </c>
      <c r="F11" s="40"/>
      <c r="G11" s="18">
        <f t="shared" si="2"/>
        <v>0</v>
      </c>
      <c r="H11" s="36">
        <f t="shared" si="3"/>
        <v>0</v>
      </c>
      <c r="I11" s="7"/>
      <c r="J11" s="18">
        <f t="shared" si="4"/>
        <v>263.35000000000002</v>
      </c>
      <c r="K11" s="37">
        <f t="shared" si="5"/>
        <v>1898.35</v>
      </c>
      <c r="L11" s="23">
        <f t="shared" si="6"/>
        <v>2657.6899999999996</v>
      </c>
      <c r="M11" s="23">
        <f t="shared" si="7"/>
        <v>2737.4206999999997</v>
      </c>
      <c r="O11" s="57"/>
      <c r="P11" s="57"/>
      <c r="Q11" s="57"/>
      <c r="R11" s="57"/>
    </row>
    <row r="12" spans="1:18" x14ac:dyDescent="0.25">
      <c r="A12" s="20" t="s">
        <v>14</v>
      </c>
      <c r="B12" s="26">
        <v>5</v>
      </c>
      <c r="C12" s="52">
        <f>((200*2)/10)*$C$1</f>
        <v>1200</v>
      </c>
      <c r="D12" s="32">
        <f t="shared" si="1"/>
        <v>435</v>
      </c>
      <c r="E12" s="33">
        <f t="shared" si="8"/>
        <v>1635</v>
      </c>
      <c r="F12" s="40"/>
      <c r="G12" s="18">
        <f t="shared" si="2"/>
        <v>0</v>
      </c>
      <c r="H12" s="36">
        <f t="shared" si="3"/>
        <v>0</v>
      </c>
      <c r="I12" s="7"/>
      <c r="J12" s="18">
        <f t="shared" si="4"/>
        <v>263.35000000000002</v>
      </c>
      <c r="K12" s="37">
        <f t="shared" si="5"/>
        <v>1898.35</v>
      </c>
      <c r="L12" s="23">
        <f t="shared" si="6"/>
        <v>2657.6899999999996</v>
      </c>
      <c r="M12" s="23">
        <f t="shared" si="7"/>
        <v>2737.4206999999997</v>
      </c>
      <c r="O12" s="64"/>
      <c r="P12" s="64"/>
      <c r="Q12" s="64"/>
      <c r="R12" s="64"/>
    </row>
    <row r="13" spans="1:18" x14ac:dyDescent="0.25">
      <c r="A13" s="21" t="s">
        <v>15</v>
      </c>
      <c r="B13" s="24">
        <v>3</v>
      </c>
      <c r="C13" s="52">
        <f>((45*2)/10)*$C$1</f>
        <v>270</v>
      </c>
      <c r="D13" s="32">
        <f t="shared" si="1"/>
        <v>261</v>
      </c>
      <c r="E13" s="33">
        <f t="shared" si="8"/>
        <v>531</v>
      </c>
      <c r="F13" s="40"/>
      <c r="G13" s="18">
        <f t="shared" si="2"/>
        <v>0</v>
      </c>
      <c r="H13" s="36">
        <f t="shared" si="3"/>
        <v>0</v>
      </c>
      <c r="I13" s="7"/>
      <c r="J13" s="18">
        <f t="shared" si="4"/>
        <v>158.01</v>
      </c>
      <c r="K13" s="37">
        <f t="shared" si="5"/>
        <v>689.01</v>
      </c>
      <c r="L13" s="23">
        <f t="shared" si="6"/>
        <v>964.61399999999992</v>
      </c>
      <c r="M13" s="23">
        <f t="shared" si="7"/>
        <v>993.55241999999998</v>
      </c>
      <c r="O13" s="57"/>
      <c r="P13" s="65"/>
      <c r="Q13" s="66"/>
      <c r="R13" s="57"/>
    </row>
    <row r="14" spans="1:18" x14ac:dyDescent="0.25">
      <c r="A14" s="20" t="s">
        <v>16</v>
      </c>
      <c r="B14" s="26">
        <v>3</v>
      </c>
      <c r="C14" s="52">
        <f>((11*2)/10)*$C$1</f>
        <v>66</v>
      </c>
      <c r="D14" s="32">
        <f t="shared" si="1"/>
        <v>261</v>
      </c>
      <c r="E14" s="33">
        <f t="shared" si="8"/>
        <v>327</v>
      </c>
      <c r="F14" s="40"/>
      <c r="G14" s="18">
        <f t="shared" si="2"/>
        <v>0</v>
      </c>
      <c r="H14" s="36">
        <f t="shared" si="3"/>
        <v>0</v>
      </c>
      <c r="I14" s="7"/>
      <c r="J14" s="18">
        <f t="shared" si="4"/>
        <v>158.01</v>
      </c>
      <c r="K14" s="37">
        <f t="shared" si="5"/>
        <v>485.01</v>
      </c>
      <c r="L14" s="23">
        <f t="shared" si="6"/>
        <v>679.0139999999999</v>
      </c>
      <c r="M14" s="23">
        <f t="shared" si="7"/>
        <v>699.38441999999986</v>
      </c>
      <c r="O14" s="57"/>
      <c r="P14" s="66"/>
      <c r="Q14" s="66"/>
      <c r="R14" s="57"/>
    </row>
    <row r="15" spans="1:18" x14ac:dyDescent="0.25">
      <c r="A15" s="21" t="s">
        <v>17</v>
      </c>
      <c r="B15" s="24">
        <v>5</v>
      </c>
      <c r="C15" s="52">
        <f>((200*2)/10)*$C$1</f>
        <v>1200</v>
      </c>
      <c r="D15" s="32">
        <f t="shared" si="1"/>
        <v>435</v>
      </c>
      <c r="E15" s="33">
        <f t="shared" si="8"/>
        <v>1635</v>
      </c>
      <c r="F15" s="40"/>
      <c r="G15" s="18">
        <f t="shared" si="2"/>
        <v>0</v>
      </c>
      <c r="H15" s="36">
        <f t="shared" si="3"/>
        <v>0</v>
      </c>
      <c r="I15" s="7"/>
      <c r="J15" s="18">
        <f t="shared" si="4"/>
        <v>263.35000000000002</v>
      </c>
      <c r="K15" s="37">
        <f t="shared" si="5"/>
        <v>1898.35</v>
      </c>
      <c r="L15" s="23">
        <f t="shared" si="6"/>
        <v>2657.6899999999996</v>
      </c>
      <c r="M15" s="23">
        <f t="shared" si="7"/>
        <v>2737.4206999999997</v>
      </c>
      <c r="O15" s="57"/>
      <c r="P15" s="57"/>
      <c r="Q15" s="57"/>
      <c r="R15" s="57"/>
    </row>
    <row r="16" spans="1:18" x14ac:dyDescent="0.25">
      <c r="A16" s="20" t="s">
        <v>18</v>
      </c>
      <c r="B16" s="26">
        <v>3</v>
      </c>
      <c r="C16" s="52">
        <f>((35*2)/10)*$C$1</f>
        <v>210</v>
      </c>
      <c r="D16" s="32">
        <f t="shared" si="1"/>
        <v>261</v>
      </c>
      <c r="E16" s="33">
        <f t="shared" si="8"/>
        <v>471</v>
      </c>
      <c r="F16" s="40"/>
      <c r="G16" s="18">
        <f t="shared" si="2"/>
        <v>0</v>
      </c>
      <c r="H16" s="36">
        <f t="shared" si="3"/>
        <v>0</v>
      </c>
      <c r="I16" s="7"/>
      <c r="J16" s="18">
        <f t="shared" si="4"/>
        <v>158.01</v>
      </c>
      <c r="K16" s="37">
        <f t="shared" si="5"/>
        <v>629.01</v>
      </c>
      <c r="L16" s="23">
        <f t="shared" si="6"/>
        <v>880.61399999999992</v>
      </c>
      <c r="M16" s="23">
        <f t="shared" si="7"/>
        <v>907.03241999999989</v>
      </c>
      <c r="O16" s="64"/>
      <c r="P16" s="64"/>
      <c r="Q16" s="64"/>
      <c r="R16" s="64"/>
    </row>
    <row r="17" spans="1:18" x14ac:dyDescent="0.25">
      <c r="A17" s="21" t="s">
        <v>19</v>
      </c>
      <c r="B17" s="24">
        <v>3</v>
      </c>
      <c r="C17" s="52">
        <f>((35*2)/10)*$C$1</f>
        <v>210</v>
      </c>
      <c r="D17" s="32">
        <f t="shared" si="1"/>
        <v>261</v>
      </c>
      <c r="E17" s="33">
        <f t="shared" si="8"/>
        <v>471</v>
      </c>
      <c r="F17" s="40"/>
      <c r="G17" s="18">
        <f t="shared" si="2"/>
        <v>0</v>
      </c>
      <c r="H17" s="36">
        <f t="shared" si="3"/>
        <v>0</v>
      </c>
      <c r="I17" s="7"/>
      <c r="J17" s="18">
        <f t="shared" si="4"/>
        <v>158.01</v>
      </c>
      <c r="K17" s="37">
        <f t="shared" si="5"/>
        <v>629.01</v>
      </c>
      <c r="L17" s="23">
        <f t="shared" si="6"/>
        <v>880.61399999999992</v>
      </c>
      <c r="M17" s="23">
        <f t="shared" si="7"/>
        <v>907.03241999999989</v>
      </c>
      <c r="O17" s="57"/>
      <c r="P17" s="65"/>
      <c r="Q17" s="66"/>
      <c r="R17" s="57"/>
    </row>
    <row r="18" spans="1:18" x14ac:dyDescent="0.25">
      <c r="A18" s="20" t="s">
        <v>20</v>
      </c>
      <c r="B18" s="26">
        <v>3</v>
      </c>
      <c r="C18" s="52">
        <f>((37*2)/10)*$C$1</f>
        <v>222</v>
      </c>
      <c r="D18" s="32">
        <f t="shared" si="1"/>
        <v>261</v>
      </c>
      <c r="E18" s="33">
        <f t="shared" si="8"/>
        <v>483</v>
      </c>
      <c r="F18" s="40"/>
      <c r="G18" s="18">
        <f t="shared" si="2"/>
        <v>0</v>
      </c>
      <c r="H18" s="36">
        <f t="shared" si="3"/>
        <v>0</v>
      </c>
      <c r="I18" s="7"/>
      <c r="J18" s="18">
        <f t="shared" si="4"/>
        <v>158.01</v>
      </c>
      <c r="K18" s="37">
        <f t="shared" si="5"/>
        <v>641.01</v>
      </c>
      <c r="L18" s="23">
        <f t="shared" si="6"/>
        <v>897.41399999999987</v>
      </c>
      <c r="M18" s="23">
        <f t="shared" si="7"/>
        <v>924.33641999999986</v>
      </c>
      <c r="O18" s="57"/>
      <c r="P18" s="66"/>
      <c r="Q18" s="66"/>
      <c r="R18" s="57"/>
    </row>
    <row r="19" spans="1:18" x14ac:dyDescent="0.25">
      <c r="A19" s="21" t="s">
        <v>21</v>
      </c>
      <c r="B19" s="24">
        <v>2</v>
      </c>
      <c r="C19" s="52">
        <f>((9*2)/10)*$C$1</f>
        <v>54</v>
      </c>
      <c r="D19" s="32">
        <f t="shared" si="1"/>
        <v>174</v>
      </c>
      <c r="E19" s="33">
        <f t="shared" si="8"/>
        <v>228</v>
      </c>
      <c r="F19" s="40"/>
      <c r="G19" s="18">
        <f t="shared" si="2"/>
        <v>0</v>
      </c>
      <c r="H19" s="36">
        <f t="shared" si="3"/>
        <v>0</v>
      </c>
      <c r="I19" s="7"/>
      <c r="J19" s="18">
        <f t="shared" si="4"/>
        <v>105.34</v>
      </c>
      <c r="K19" s="37">
        <f t="shared" si="5"/>
        <v>333.34000000000003</v>
      </c>
      <c r="L19" s="23">
        <f t="shared" si="6"/>
        <v>466.67599999999999</v>
      </c>
      <c r="M19" s="23">
        <f t="shared" si="7"/>
        <v>480.67628000000002</v>
      </c>
      <c r="O19" s="57"/>
      <c r="P19" s="57"/>
      <c r="Q19" s="57"/>
      <c r="R19" s="57"/>
    </row>
    <row r="20" spans="1:18" x14ac:dyDescent="0.25">
      <c r="A20" s="20" t="s">
        <v>22</v>
      </c>
      <c r="B20" s="26">
        <v>2</v>
      </c>
      <c r="C20" s="52">
        <f>((6*2)/10)*$C$1</f>
        <v>36</v>
      </c>
      <c r="D20" s="32">
        <f t="shared" si="1"/>
        <v>174</v>
      </c>
      <c r="E20" s="33">
        <f t="shared" si="8"/>
        <v>210</v>
      </c>
      <c r="F20" s="40"/>
      <c r="G20" s="18">
        <f t="shared" si="2"/>
        <v>0</v>
      </c>
      <c r="H20" s="36">
        <f t="shared" si="3"/>
        <v>0</v>
      </c>
      <c r="I20" s="7"/>
      <c r="J20" s="18">
        <f t="shared" si="4"/>
        <v>105.34</v>
      </c>
      <c r="K20" s="37">
        <f t="shared" si="5"/>
        <v>315.34000000000003</v>
      </c>
      <c r="L20" s="23">
        <f t="shared" si="6"/>
        <v>441.476</v>
      </c>
      <c r="M20" s="23">
        <f t="shared" si="7"/>
        <v>454.72028</v>
      </c>
      <c r="O20" s="64"/>
      <c r="P20" s="64"/>
      <c r="Q20" s="64"/>
      <c r="R20" s="64"/>
    </row>
    <row r="21" spans="1:18" x14ac:dyDescent="0.25">
      <c r="A21" s="21" t="s">
        <v>23</v>
      </c>
      <c r="B21" s="24">
        <v>2</v>
      </c>
      <c r="C21" s="52">
        <f>((36*2)/10)*$C$1</f>
        <v>216</v>
      </c>
      <c r="D21" s="32">
        <f t="shared" si="1"/>
        <v>174</v>
      </c>
      <c r="E21" s="33">
        <f t="shared" si="8"/>
        <v>390</v>
      </c>
      <c r="F21" s="40"/>
      <c r="G21" s="18">
        <f t="shared" si="2"/>
        <v>0</v>
      </c>
      <c r="H21" s="36">
        <f t="shared" si="3"/>
        <v>0</v>
      </c>
      <c r="I21" s="7"/>
      <c r="J21" s="18">
        <f t="shared" si="4"/>
        <v>105.34</v>
      </c>
      <c r="K21" s="37">
        <f t="shared" si="5"/>
        <v>495.34000000000003</v>
      </c>
      <c r="L21" s="23">
        <f t="shared" si="6"/>
        <v>693.476</v>
      </c>
      <c r="M21" s="23">
        <f t="shared" si="7"/>
        <v>714.28028000000006</v>
      </c>
      <c r="O21" s="57"/>
      <c r="P21" s="65"/>
      <c r="Q21" s="66"/>
      <c r="R21" s="57"/>
    </row>
    <row r="22" spans="1:18" x14ac:dyDescent="0.25">
      <c r="A22" s="20" t="s">
        <v>24</v>
      </c>
      <c r="B22" s="26">
        <v>3</v>
      </c>
      <c r="C22" s="52">
        <f>((70*2)/10)*$C$1</f>
        <v>420</v>
      </c>
      <c r="D22" s="32">
        <f t="shared" si="1"/>
        <v>261</v>
      </c>
      <c r="E22" s="33">
        <f t="shared" si="8"/>
        <v>681</v>
      </c>
      <c r="F22" s="40"/>
      <c r="G22" s="18">
        <f t="shared" si="2"/>
        <v>0</v>
      </c>
      <c r="H22" s="36">
        <f t="shared" si="3"/>
        <v>0</v>
      </c>
      <c r="I22" s="7"/>
      <c r="J22" s="18">
        <f t="shared" si="4"/>
        <v>158.01</v>
      </c>
      <c r="K22" s="37">
        <f t="shared" si="5"/>
        <v>839.01</v>
      </c>
      <c r="L22" s="23">
        <f t="shared" si="6"/>
        <v>1174.6139999999998</v>
      </c>
      <c r="M22" s="23">
        <f t="shared" si="7"/>
        <v>1209.8524199999999</v>
      </c>
      <c r="O22" s="57"/>
      <c r="P22" s="66"/>
      <c r="Q22" s="66"/>
      <c r="R22" s="57"/>
    </row>
    <row r="23" spans="1:18" x14ac:dyDescent="0.25">
      <c r="A23" s="21" t="s">
        <v>25</v>
      </c>
      <c r="B23" s="24">
        <v>1</v>
      </c>
      <c r="C23" s="52">
        <f>((27*2)/10)*$C$1</f>
        <v>162</v>
      </c>
      <c r="D23" s="32">
        <f t="shared" si="1"/>
        <v>87</v>
      </c>
      <c r="E23" s="33">
        <f t="shared" si="8"/>
        <v>249</v>
      </c>
      <c r="F23" s="40"/>
      <c r="G23" s="18">
        <f t="shared" si="2"/>
        <v>0</v>
      </c>
      <c r="H23" s="36">
        <f t="shared" si="3"/>
        <v>0</v>
      </c>
      <c r="I23" s="7"/>
      <c r="J23" s="18">
        <f t="shared" si="4"/>
        <v>52.67</v>
      </c>
      <c r="K23" s="37">
        <f t="shared" si="5"/>
        <v>301.67</v>
      </c>
      <c r="L23" s="23">
        <f t="shared" si="6"/>
        <v>422.33800000000002</v>
      </c>
      <c r="M23" s="23">
        <f t="shared" si="7"/>
        <v>435.00814000000003</v>
      </c>
    </row>
    <row r="24" spans="1:18" x14ac:dyDescent="0.25">
      <c r="A24" s="20" t="s">
        <v>26</v>
      </c>
      <c r="B24" s="26">
        <v>3</v>
      </c>
      <c r="C24" s="52">
        <f>((76*2)/10)*$C$1</f>
        <v>456</v>
      </c>
      <c r="D24" s="32">
        <f t="shared" si="1"/>
        <v>261</v>
      </c>
      <c r="E24" s="33">
        <f t="shared" si="8"/>
        <v>717</v>
      </c>
      <c r="F24" s="40"/>
      <c r="G24" s="18">
        <f t="shared" si="2"/>
        <v>0</v>
      </c>
      <c r="H24" s="36">
        <f t="shared" si="3"/>
        <v>0</v>
      </c>
      <c r="I24" s="7"/>
      <c r="J24" s="18">
        <f t="shared" si="4"/>
        <v>158.01</v>
      </c>
      <c r="K24" s="37">
        <f t="shared" si="5"/>
        <v>875.01</v>
      </c>
      <c r="L24" s="23">
        <f t="shared" si="6"/>
        <v>1225.0139999999999</v>
      </c>
      <c r="M24" s="23">
        <f t="shared" si="7"/>
        <v>1261.76442</v>
      </c>
    </row>
    <row r="25" spans="1:18" x14ac:dyDescent="0.25">
      <c r="A25" s="21" t="s">
        <v>27</v>
      </c>
      <c r="B25" s="24">
        <v>3</v>
      </c>
      <c r="C25" s="52">
        <f>((70*2)/10)*$C$1</f>
        <v>420</v>
      </c>
      <c r="D25" s="32">
        <f t="shared" si="1"/>
        <v>261</v>
      </c>
      <c r="E25" s="33">
        <f t="shared" si="8"/>
        <v>681</v>
      </c>
      <c r="F25" s="40"/>
      <c r="G25" s="18">
        <f t="shared" si="2"/>
        <v>0</v>
      </c>
      <c r="H25" s="36">
        <f t="shared" si="3"/>
        <v>0</v>
      </c>
      <c r="I25" s="7"/>
      <c r="J25" s="18">
        <f t="shared" si="4"/>
        <v>158.01</v>
      </c>
      <c r="K25" s="37">
        <f t="shared" si="5"/>
        <v>839.01</v>
      </c>
      <c r="L25" s="23">
        <f t="shared" si="6"/>
        <v>1174.6139999999998</v>
      </c>
      <c r="M25" s="23">
        <f t="shared" si="7"/>
        <v>1209.8524199999999</v>
      </c>
    </row>
    <row r="26" spans="1:18" x14ac:dyDescent="0.25">
      <c r="A26" s="20" t="s">
        <v>28</v>
      </c>
      <c r="B26" s="26">
        <v>3</v>
      </c>
      <c r="C26" s="52">
        <f>((36*2)/10)*$C$1</f>
        <v>216</v>
      </c>
      <c r="D26" s="32">
        <f t="shared" si="1"/>
        <v>261</v>
      </c>
      <c r="E26" s="33">
        <f t="shared" si="8"/>
        <v>477</v>
      </c>
      <c r="F26" s="40"/>
      <c r="G26" s="18">
        <f t="shared" si="2"/>
        <v>0</v>
      </c>
      <c r="H26" s="36">
        <f t="shared" si="3"/>
        <v>0</v>
      </c>
      <c r="I26" s="7"/>
      <c r="J26" s="18">
        <f t="shared" si="4"/>
        <v>158.01</v>
      </c>
      <c r="K26" s="37">
        <f t="shared" si="5"/>
        <v>635.01</v>
      </c>
      <c r="L26" s="23">
        <f t="shared" si="6"/>
        <v>889.0139999999999</v>
      </c>
      <c r="M26" s="23">
        <f t="shared" si="7"/>
        <v>915.68441999999993</v>
      </c>
    </row>
    <row r="27" spans="1:18" x14ac:dyDescent="0.25">
      <c r="A27" s="21" t="s">
        <v>29</v>
      </c>
      <c r="B27" s="24">
        <v>2</v>
      </c>
      <c r="C27" s="52">
        <f>((3*2)/10)*$C$1</f>
        <v>18</v>
      </c>
      <c r="D27" s="32">
        <f t="shared" si="1"/>
        <v>174</v>
      </c>
      <c r="E27" s="33">
        <f t="shared" si="8"/>
        <v>192</v>
      </c>
      <c r="F27" s="40"/>
      <c r="G27" s="18">
        <f t="shared" si="2"/>
        <v>0</v>
      </c>
      <c r="H27" s="36">
        <f t="shared" si="3"/>
        <v>0</v>
      </c>
      <c r="I27" s="7"/>
      <c r="J27" s="18">
        <f t="shared" si="4"/>
        <v>105.34</v>
      </c>
      <c r="K27" s="37">
        <f t="shared" si="5"/>
        <v>297.34000000000003</v>
      </c>
      <c r="L27" s="23">
        <f t="shared" si="6"/>
        <v>416.27600000000001</v>
      </c>
      <c r="M27" s="23">
        <f t="shared" si="7"/>
        <v>428.76428000000004</v>
      </c>
    </row>
    <row r="28" spans="1:18" x14ac:dyDescent="0.25">
      <c r="A28" s="20" t="s">
        <v>30</v>
      </c>
      <c r="B28" s="26">
        <v>3</v>
      </c>
      <c r="C28" s="52">
        <f>((16*2)/10)*$C$1</f>
        <v>96</v>
      </c>
      <c r="D28" s="32">
        <f t="shared" si="1"/>
        <v>261</v>
      </c>
      <c r="E28" s="33">
        <f t="shared" si="8"/>
        <v>357</v>
      </c>
      <c r="F28" s="40"/>
      <c r="G28" s="18">
        <f t="shared" si="2"/>
        <v>0</v>
      </c>
      <c r="H28" s="36">
        <f t="shared" si="3"/>
        <v>0</v>
      </c>
      <c r="I28" s="7"/>
      <c r="J28" s="18">
        <f t="shared" si="4"/>
        <v>158.01</v>
      </c>
      <c r="K28" s="37">
        <f t="shared" si="5"/>
        <v>515.01</v>
      </c>
      <c r="L28" s="23">
        <f t="shared" si="6"/>
        <v>721.0139999999999</v>
      </c>
      <c r="M28" s="23">
        <f t="shared" si="7"/>
        <v>742.64441999999997</v>
      </c>
    </row>
    <row r="29" spans="1:18" x14ac:dyDescent="0.25">
      <c r="A29" s="21" t="s">
        <v>31</v>
      </c>
      <c r="B29" s="24">
        <v>2</v>
      </c>
      <c r="C29" s="52">
        <f>((32*2)/10)*$C$1</f>
        <v>192</v>
      </c>
      <c r="D29" s="32">
        <f t="shared" si="1"/>
        <v>174</v>
      </c>
      <c r="E29" s="33">
        <f t="shared" si="8"/>
        <v>366</v>
      </c>
      <c r="F29" s="40"/>
      <c r="G29" s="18">
        <f t="shared" si="2"/>
        <v>0</v>
      </c>
      <c r="H29" s="36">
        <f t="shared" si="3"/>
        <v>0</v>
      </c>
      <c r="I29" s="7"/>
      <c r="J29" s="18">
        <f t="shared" si="4"/>
        <v>105.34</v>
      </c>
      <c r="K29" s="37">
        <f t="shared" si="5"/>
        <v>471.34000000000003</v>
      </c>
      <c r="L29" s="23">
        <f t="shared" si="6"/>
        <v>659.87599999999998</v>
      </c>
      <c r="M29" s="23">
        <f t="shared" si="7"/>
        <v>679.67228</v>
      </c>
    </row>
    <row r="30" spans="1:18" x14ac:dyDescent="0.25">
      <c r="A30" s="22" t="s">
        <v>38</v>
      </c>
      <c r="B30" s="26">
        <v>2</v>
      </c>
      <c r="C30" s="52">
        <f>((8*2)/10)*$C$1</f>
        <v>48</v>
      </c>
      <c r="D30" s="32">
        <f t="shared" si="1"/>
        <v>174</v>
      </c>
      <c r="E30" s="33">
        <f t="shared" si="8"/>
        <v>222</v>
      </c>
      <c r="F30" s="40"/>
      <c r="G30" s="18">
        <f t="shared" si="2"/>
        <v>0</v>
      </c>
      <c r="H30" s="36">
        <f t="shared" si="3"/>
        <v>0</v>
      </c>
      <c r="I30" s="7"/>
      <c r="J30" s="18">
        <f t="shared" si="4"/>
        <v>105.34</v>
      </c>
      <c r="K30" s="37">
        <f t="shared" si="5"/>
        <v>327.34000000000003</v>
      </c>
      <c r="L30" s="23">
        <f t="shared" si="6"/>
        <v>458.27600000000001</v>
      </c>
      <c r="M30" s="23">
        <f t="shared" si="7"/>
        <v>472.02428000000003</v>
      </c>
    </row>
    <row r="31" spans="1:18" x14ac:dyDescent="0.25">
      <c r="A31" s="21" t="s">
        <v>32</v>
      </c>
      <c r="B31" s="24">
        <v>5</v>
      </c>
      <c r="C31" s="52">
        <f>((200*2)/10)*$C$1</f>
        <v>1200</v>
      </c>
      <c r="D31" s="32">
        <f t="shared" si="1"/>
        <v>435</v>
      </c>
      <c r="E31" s="33">
        <f t="shared" si="8"/>
        <v>1635</v>
      </c>
      <c r="F31" s="40"/>
      <c r="G31" s="18">
        <f t="shared" si="2"/>
        <v>0</v>
      </c>
      <c r="H31" s="36">
        <f t="shared" si="3"/>
        <v>0</v>
      </c>
      <c r="I31" s="7"/>
      <c r="J31" s="18">
        <f t="shared" si="4"/>
        <v>263.35000000000002</v>
      </c>
      <c r="K31" s="37">
        <f t="shared" si="5"/>
        <v>1898.35</v>
      </c>
      <c r="L31" s="23">
        <f t="shared" si="6"/>
        <v>2657.6899999999996</v>
      </c>
      <c r="M31" s="23">
        <f t="shared" si="7"/>
        <v>2737.4206999999997</v>
      </c>
    </row>
    <row r="32" spans="1:18" x14ac:dyDescent="0.25">
      <c r="A32" s="20" t="s">
        <v>33</v>
      </c>
      <c r="B32" s="26">
        <v>2</v>
      </c>
      <c r="C32" s="52">
        <f>((13*2)/10)*$C$1</f>
        <v>78</v>
      </c>
      <c r="D32" s="32">
        <f t="shared" si="1"/>
        <v>174</v>
      </c>
      <c r="E32" s="33">
        <f t="shared" si="8"/>
        <v>252</v>
      </c>
      <c r="F32" s="40"/>
      <c r="G32" s="18">
        <f t="shared" si="2"/>
        <v>0</v>
      </c>
      <c r="H32" s="36">
        <f t="shared" si="3"/>
        <v>0</v>
      </c>
      <c r="I32" s="7"/>
      <c r="J32" s="18">
        <f t="shared" si="4"/>
        <v>105.34</v>
      </c>
      <c r="K32" s="37">
        <f t="shared" si="5"/>
        <v>357.34000000000003</v>
      </c>
      <c r="L32" s="23">
        <f t="shared" si="6"/>
        <v>500.27600000000001</v>
      </c>
      <c r="M32" s="23">
        <f t="shared" si="7"/>
        <v>515.28428000000008</v>
      </c>
    </row>
    <row r="33" spans="1:13" x14ac:dyDescent="0.25">
      <c r="A33" s="21" t="s">
        <v>34</v>
      </c>
      <c r="B33" s="24">
        <v>2</v>
      </c>
      <c r="C33" s="52">
        <f>((15*2)/10)*$C$1</f>
        <v>90</v>
      </c>
      <c r="D33" s="32">
        <f t="shared" si="1"/>
        <v>174</v>
      </c>
      <c r="E33" s="33">
        <f t="shared" si="8"/>
        <v>264</v>
      </c>
      <c r="F33" s="13"/>
      <c r="G33" s="18">
        <f t="shared" si="2"/>
        <v>0</v>
      </c>
      <c r="H33" s="36">
        <f t="shared" si="3"/>
        <v>0</v>
      </c>
      <c r="I33" s="7"/>
      <c r="J33" s="18">
        <f t="shared" si="4"/>
        <v>105.34</v>
      </c>
      <c r="K33" s="37">
        <f t="shared" si="5"/>
        <v>369.34000000000003</v>
      </c>
      <c r="L33" s="23">
        <f t="shared" si="6"/>
        <v>517.07600000000002</v>
      </c>
      <c r="M33" s="23">
        <f t="shared" si="7"/>
        <v>532.58828000000005</v>
      </c>
    </row>
    <row r="34" spans="1:13" x14ac:dyDescent="0.25">
      <c r="A34" s="39" t="s">
        <v>51</v>
      </c>
      <c r="B34" s="26">
        <v>4</v>
      </c>
      <c r="C34" s="52">
        <f>((80*2)/10)*$C$1</f>
        <v>480</v>
      </c>
      <c r="D34" s="32">
        <f t="shared" si="1"/>
        <v>348</v>
      </c>
      <c r="E34" s="33">
        <f>C34+D34</f>
        <v>828</v>
      </c>
      <c r="F34" s="41"/>
      <c r="G34" s="18">
        <f t="shared" si="2"/>
        <v>0</v>
      </c>
      <c r="H34" s="36">
        <f t="shared" si="3"/>
        <v>0</v>
      </c>
      <c r="I34" s="7"/>
      <c r="J34" s="18">
        <f t="shared" si="4"/>
        <v>210.68</v>
      </c>
      <c r="K34" s="37">
        <f t="shared" si="5"/>
        <v>1038.68</v>
      </c>
      <c r="L34" s="23">
        <f t="shared" si="6"/>
        <v>1454.152</v>
      </c>
      <c r="M34" s="23">
        <f t="shared" si="7"/>
        <v>1497.77656</v>
      </c>
    </row>
    <row r="35" spans="1:13" x14ac:dyDescent="0.25">
      <c r="A35" s="39" t="s">
        <v>52</v>
      </c>
      <c r="B35" s="40">
        <v>4</v>
      </c>
      <c r="C35" s="52">
        <f>((80*2)/10)*$C$1</f>
        <v>480</v>
      </c>
      <c r="D35" s="32">
        <f t="shared" si="1"/>
        <v>348</v>
      </c>
      <c r="E35" s="33">
        <f t="shared" si="8"/>
        <v>828</v>
      </c>
      <c r="F35" s="41"/>
      <c r="G35" s="18">
        <f t="shared" si="2"/>
        <v>0</v>
      </c>
      <c r="H35" s="36">
        <f t="shared" si="3"/>
        <v>0</v>
      </c>
      <c r="I35" s="7"/>
      <c r="J35" s="18">
        <f t="shared" si="4"/>
        <v>210.68</v>
      </c>
      <c r="K35" s="37">
        <f t="shared" si="5"/>
        <v>1038.68</v>
      </c>
      <c r="L35" s="23">
        <f>K35*1.4</f>
        <v>1454.152</v>
      </c>
      <c r="M35" s="23">
        <f t="shared" ref="M35:M52" si="9">L35*1.03</f>
        <v>1497.77656</v>
      </c>
    </row>
    <row r="36" spans="1:13" x14ac:dyDescent="0.25">
      <c r="A36" s="39" t="s">
        <v>53</v>
      </c>
      <c r="B36" s="24">
        <v>3</v>
      </c>
      <c r="C36" s="52">
        <f>((9*2)/10)*$C$1</f>
        <v>54</v>
      </c>
      <c r="D36" s="32">
        <f t="shared" si="1"/>
        <v>261</v>
      </c>
      <c r="E36" s="33">
        <f t="shared" si="8"/>
        <v>315</v>
      </c>
      <c r="F36" s="41"/>
      <c r="G36" s="18">
        <f t="shared" si="2"/>
        <v>0</v>
      </c>
      <c r="H36" s="36">
        <f t="shared" si="3"/>
        <v>0</v>
      </c>
      <c r="I36" s="7"/>
      <c r="J36" s="18">
        <f t="shared" si="4"/>
        <v>158.01</v>
      </c>
      <c r="K36" s="37">
        <f t="shared" si="5"/>
        <v>473.01</v>
      </c>
      <c r="L36" s="23">
        <f>K36*1.4</f>
        <v>662.21399999999994</v>
      </c>
      <c r="M36" s="23">
        <f t="shared" si="9"/>
        <v>682.08042</v>
      </c>
    </row>
    <row r="37" spans="1:13" x14ac:dyDescent="0.25">
      <c r="A37" s="39" t="s">
        <v>54</v>
      </c>
      <c r="B37" s="24">
        <v>3</v>
      </c>
      <c r="C37" s="52">
        <f>((20*2)/10)*$C$1</f>
        <v>120</v>
      </c>
      <c r="D37" s="32">
        <f t="shared" si="1"/>
        <v>261</v>
      </c>
      <c r="E37" s="33">
        <f t="shared" si="8"/>
        <v>381</v>
      </c>
      <c r="F37" s="41"/>
      <c r="G37" s="18">
        <f t="shared" si="2"/>
        <v>0</v>
      </c>
      <c r="H37" s="36">
        <f t="shared" si="3"/>
        <v>0</v>
      </c>
      <c r="I37" s="7"/>
      <c r="J37" s="18">
        <f t="shared" si="4"/>
        <v>158.01</v>
      </c>
      <c r="K37" s="37">
        <f t="shared" si="5"/>
        <v>539.01</v>
      </c>
      <c r="L37" s="23">
        <f t="shared" ref="L37:L52" si="10">K37*1.45</f>
        <v>781.56449999999995</v>
      </c>
      <c r="M37" s="23">
        <f t="shared" si="9"/>
        <v>805.01143500000001</v>
      </c>
    </row>
    <row r="38" spans="1:13" x14ac:dyDescent="0.25">
      <c r="A38" s="39" t="s">
        <v>55</v>
      </c>
      <c r="B38" s="24">
        <v>2</v>
      </c>
      <c r="C38" s="52">
        <f>((6*2)/10)*$C$1</f>
        <v>36</v>
      </c>
      <c r="D38" s="32">
        <f t="shared" si="1"/>
        <v>174</v>
      </c>
      <c r="E38" s="33">
        <f t="shared" si="8"/>
        <v>210</v>
      </c>
      <c r="F38" s="41"/>
      <c r="G38" s="18">
        <f t="shared" si="2"/>
        <v>0</v>
      </c>
      <c r="H38" s="36">
        <f t="shared" si="3"/>
        <v>0</v>
      </c>
      <c r="I38" s="7"/>
      <c r="J38" s="18">
        <f t="shared" si="4"/>
        <v>105.34</v>
      </c>
      <c r="K38" s="37">
        <f t="shared" si="5"/>
        <v>315.34000000000003</v>
      </c>
      <c r="L38" s="23">
        <f t="shared" si="10"/>
        <v>457.24300000000005</v>
      </c>
      <c r="M38" s="23">
        <f t="shared" si="9"/>
        <v>470.96029000000004</v>
      </c>
    </row>
    <row r="39" spans="1:13" x14ac:dyDescent="0.25">
      <c r="A39" s="39" t="s">
        <v>57</v>
      </c>
      <c r="B39" s="24">
        <v>2</v>
      </c>
      <c r="C39" s="52">
        <f>((8*2)/10)*$C$1</f>
        <v>48</v>
      </c>
      <c r="D39" s="32">
        <f t="shared" si="1"/>
        <v>174</v>
      </c>
      <c r="E39" s="33">
        <f t="shared" si="8"/>
        <v>222</v>
      </c>
      <c r="F39" s="41"/>
      <c r="G39" s="18">
        <f t="shared" si="2"/>
        <v>0</v>
      </c>
      <c r="H39" s="36">
        <f t="shared" si="3"/>
        <v>0</v>
      </c>
      <c r="I39" s="7"/>
      <c r="J39" s="18">
        <f t="shared" si="4"/>
        <v>105.34</v>
      </c>
      <c r="K39" s="37">
        <f t="shared" si="5"/>
        <v>327.34000000000003</v>
      </c>
      <c r="L39" s="23">
        <f t="shared" si="10"/>
        <v>474.64300000000003</v>
      </c>
      <c r="M39" s="23">
        <f t="shared" si="9"/>
        <v>488.88229000000007</v>
      </c>
    </row>
    <row r="40" spans="1:13" x14ac:dyDescent="0.25">
      <c r="A40" s="39" t="s">
        <v>58</v>
      </c>
      <c r="B40" s="24">
        <v>2</v>
      </c>
      <c r="C40" s="52">
        <f>((8*2)/10)*$C$1</f>
        <v>48</v>
      </c>
      <c r="D40" s="32">
        <f t="shared" si="1"/>
        <v>174</v>
      </c>
      <c r="E40" s="33">
        <f t="shared" si="8"/>
        <v>222</v>
      </c>
      <c r="F40" s="41"/>
      <c r="G40" s="18">
        <f t="shared" si="2"/>
        <v>0</v>
      </c>
      <c r="H40" s="36">
        <f t="shared" si="3"/>
        <v>0</v>
      </c>
      <c r="I40" s="7"/>
      <c r="J40" s="18">
        <f t="shared" si="4"/>
        <v>105.34</v>
      </c>
      <c r="K40" s="37">
        <f t="shared" si="5"/>
        <v>327.34000000000003</v>
      </c>
      <c r="L40" s="23">
        <f t="shared" si="10"/>
        <v>474.64300000000003</v>
      </c>
      <c r="M40" s="23">
        <f t="shared" si="9"/>
        <v>488.88229000000007</v>
      </c>
    </row>
    <row r="41" spans="1:13" x14ac:dyDescent="0.25">
      <c r="A41" s="39" t="s">
        <v>59</v>
      </c>
      <c r="B41" s="24">
        <v>2</v>
      </c>
      <c r="C41" s="52">
        <f>((40*2)/10)*$C$1</f>
        <v>240</v>
      </c>
      <c r="D41" s="32">
        <f t="shared" si="1"/>
        <v>174</v>
      </c>
      <c r="E41" s="33">
        <f t="shared" si="8"/>
        <v>414</v>
      </c>
      <c r="F41" s="41"/>
      <c r="G41" s="18">
        <f t="shared" si="2"/>
        <v>0</v>
      </c>
      <c r="H41" s="36">
        <f t="shared" si="3"/>
        <v>0</v>
      </c>
      <c r="I41" s="7"/>
      <c r="J41" s="18">
        <f t="shared" si="4"/>
        <v>105.34</v>
      </c>
      <c r="K41" s="37">
        <f t="shared" si="5"/>
        <v>519.34</v>
      </c>
      <c r="L41" s="23">
        <f t="shared" si="10"/>
        <v>753.04300000000001</v>
      </c>
      <c r="M41" s="23">
        <f t="shared" si="9"/>
        <v>775.63429000000008</v>
      </c>
    </row>
    <row r="42" spans="1:13" x14ac:dyDescent="0.25">
      <c r="A42" s="39" t="s">
        <v>60</v>
      </c>
      <c r="B42" s="26">
        <v>3</v>
      </c>
      <c r="C42" s="52">
        <f>((7*2)/10)*$C$1</f>
        <v>42</v>
      </c>
      <c r="D42" s="32">
        <f t="shared" si="1"/>
        <v>261</v>
      </c>
      <c r="E42" s="33">
        <f t="shared" si="8"/>
        <v>303</v>
      </c>
      <c r="F42" s="41"/>
      <c r="G42" s="18">
        <f t="shared" si="2"/>
        <v>0</v>
      </c>
      <c r="H42" s="36">
        <f t="shared" si="3"/>
        <v>0</v>
      </c>
      <c r="I42" s="7"/>
      <c r="J42" s="18">
        <f t="shared" si="4"/>
        <v>158.01</v>
      </c>
      <c r="K42" s="37">
        <f t="shared" si="5"/>
        <v>461.01</v>
      </c>
      <c r="L42" s="23">
        <f t="shared" si="10"/>
        <v>668.46449999999993</v>
      </c>
      <c r="M42" s="23">
        <f t="shared" si="9"/>
        <v>688.51843499999995</v>
      </c>
    </row>
    <row r="43" spans="1:13" x14ac:dyDescent="0.25">
      <c r="A43" s="39" t="s">
        <v>61</v>
      </c>
      <c r="B43" s="24">
        <v>2</v>
      </c>
      <c r="C43" s="52">
        <f>((8*2)/10)*$C$1</f>
        <v>48</v>
      </c>
      <c r="D43" s="32">
        <f t="shared" si="1"/>
        <v>174</v>
      </c>
      <c r="E43" s="33">
        <f t="shared" si="8"/>
        <v>222</v>
      </c>
      <c r="F43" s="41"/>
      <c r="G43" s="18">
        <f t="shared" si="2"/>
        <v>0</v>
      </c>
      <c r="H43" s="36">
        <f t="shared" si="3"/>
        <v>0</v>
      </c>
      <c r="I43" s="7"/>
      <c r="J43" s="18">
        <f t="shared" si="4"/>
        <v>105.34</v>
      </c>
      <c r="K43" s="37">
        <f t="shared" si="5"/>
        <v>327.34000000000003</v>
      </c>
      <c r="L43" s="23">
        <f t="shared" si="10"/>
        <v>474.64300000000003</v>
      </c>
      <c r="M43" s="23">
        <f t="shared" si="9"/>
        <v>488.88229000000007</v>
      </c>
    </row>
    <row r="44" spans="1:13" x14ac:dyDescent="0.25">
      <c r="A44" s="39" t="s">
        <v>62</v>
      </c>
      <c r="B44" s="24">
        <v>2</v>
      </c>
      <c r="C44" s="52">
        <f>((10*2)/10)*$C$1</f>
        <v>60</v>
      </c>
      <c r="D44" s="32">
        <f t="shared" si="1"/>
        <v>174</v>
      </c>
      <c r="E44" s="33">
        <f t="shared" si="8"/>
        <v>234</v>
      </c>
      <c r="F44" s="41"/>
      <c r="G44" s="18">
        <f t="shared" si="2"/>
        <v>0</v>
      </c>
      <c r="H44" s="36">
        <f t="shared" si="3"/>
        <v>0</v>
      </c>
      <c r="I44" s="7"/>
      <c r="J44" s="18">
        <f t="shared" si="4"/>
        <v>105.34</v>
      </c>
      <c r="K44" s="37">
        <f t="shared" si="5"/>
        <v>339.34000000000003</v>
      </c>
      <c r="L44" s="23">
        <f t="shared" si="10"/>
        <v>492.04300000000001</v>
      </c>
      <c r="M44" s="23">
        <f t="shared" si="9"/>
        <v>506.80429000000004</v>
      </c>
    </row>
    <row r="45" spans="1:13" x14ac:dyDescent="0.25">
      <c r="A45" s="39" t="s">
        <v>63</v>
      </c>
      <c r="B45" s="24">
        <v>2</v>
      </c>
      <c r="C45" s="52">
        <f>((6*2)/10)*$C$1</f>
        <v>36</v>
      </c>
      <c r="D45" s="32">
        <f t="shared" si="1"/>
        <v>174</v>
      </c>
      <c r="E45" s="33">
        <f t="shared" si="8"/>
        <v>210</v>
      </c>
      <c r="F45" s="41"/>
      <c r="G45" s="18">
        <f t="shared" si="2"/>
        <v>0</v>
      </c>
      <c r="H45" s="36">
        <f t="shared" si="3"/>
        <v>0</v>
      </c>
      <c r="I45" s="7"/>
      <c r="J45" s="18">
        <f t="shared" si="4"/>
        <v>105.34</v>
      </c>
      <c r="K45" s="37">
        <f t="shared" si="5"/>
        <v>315.34000000000003</v>
      </c>
      <c r="L45" s="23">
        <f t="shared" si="10"/>
        <v>457.24300000000005</v>
      </c>
      <c r="M45" s="23">
        <f t="shared" si="9"/>
        <v>470.96029000000004</v>
      </c>
    </row>
    <row r="46" spans="1:13" x14ac:dyDescent="0.25">
      <c r="A46" s="39" t="s">
        <v>64</v>
      </c>
      <c r="B46" s="24">
        <v>2</v>
      </c>
      <c r="C46" s="52">
        <f>((8*2)/10)*$C$1</f>
        <v>48</v>
      </c>
      <c r="D46" s="32">
        <f t="shared" si="1"/>
        <v>174</v>
      </c>
      <c r="E46" s="33">
        <f t="shared" si="8"/>
        <v>222</v>
      </c>
      <c r="F46" s="41"/>
      <c r="G46" s="18">
        <f t="shared" si="2"/>
        <v>0</v>
      </c>
      <c r="H46" s="36">
        <f t="shared" si="3"/>
        <v>0</v>
      </c>
      <c r="I46" s="7"/>
      <c r="J46" s="18">
        <f t="shared" si="4"/>
        <v>105.34</v>
      </c>
      <c r="K46" s="37">
        <f t="shared" si="5"/>
        <v>327.34000000000003</v>
      </c>
      <c r="L46" s="23">
        <f t="shared" si="10"/>
        <v>474.64300000000003</v>
      </c>
      <c r="M46" s="23">
        <f t="shared" si="9"/>
        <v>488.88229000000007</v>
      </c>
    </row>
    <row r="47" spans="1:13" x14ac:dyDescent="0.25">
      <c r="A47" s="39" t="s">
        <v>65</v>
      </c>
      <c r="B47" s="24">
        <v>2</v>
      </c>
      <c r="C47" s="52">
        <f>((20*2)/10)*$C$1</f>
        <v>120</v>
      </c>
      <c r="D47" s="32">
        <f t="shared" si="1"/>
        <v>174</v>
      </c>
      <c r="E47" s="33">
        <f t="shared" si="8"/>
        <v>294</v>
      </c>
      <c r="F47" s="41"/>
      <c r="G47" s="18">
        <f t="shared" si="2"/>
        <v>0</v>
      </c>
      <c r="H47" s="36">
        <f t="shared" si="3"/>
        <v>0</v>
      </c>
      <c r="I47" s="7"/>
      <c r="J47" s="18">
        <f t="shared" si="4"/>
        <v>105.34</v>
      </c>
      <c r="K47" s="37">
        <f t="shared" si="5"/>
        <v>399.34000000000003</v>
      </c>
      <c r="L47" s="23">
        <f t="shared" si="10"/>
        <v>579.04300000000001</v>
      </c>
      <c r="M47" s="23">
        <f t="shared" si="9"/>
        <v>596.41429000000005</v>
      </c>
    </row>
    <row r="48" spans="1:13" x14ac:dyDescent="0.25">
      <c r="A48" s="39" t="s">
        <v>66</v>
      </c>
      <c r="B48" s="24">
        <v>2</v>
      </c>
      <c r="C48" s="52">
        <f>((36*2)/10)*$C$1</f>
        <v>216</v>
      </c>
      <c r="D48" s="32">
        <f t="shared" si="1"/>
        <v>174</v>
      </c>
      <c r="E48" s="33">
        <f t="shared" si="8"/>
        <v>390</v>
      </c>
      <c r="F48" s="41"/>
      <c r="G48" s="18">
        <f t="shared" si="2"/>
        <v>0</v>
      </c>
      <c r="H48" s="36">
        <f t="shared" si="3"/>
        <v>0</v>
      </c>
      <c r="I48" s="7"/>
      <c r="J48" s="18">
        <f t="shared" si="4"/>
        <v>105.34</v>
      </c>
      <c r="K48" s="37">
        <f t="shared" si="5"/>
        <v>495.34000000000003</v>
      </c>
      <c r="L48" s="23">
        <f t="shared" si="10"/>
        <v>718.24300000000005</v>
      </c>
      <c r="M48" s="23">
        <f t="shared" si="9"/>
        <v>739.79029000000003</v>
      </c>
    </row>
    <row r="49" spans="1:13" x14ac:dyDescent="0.25">
      <c r="A49" s="39" t="s">
        <v>67</v>
      </c>
      <c r="B49" s="26">
        <v>3</v>
      </c>
      <c r="C49" s="52">
        <f>((25*2)/10)*$C$1</f>
        <v>150</v>
      </c>
      <c r="D49" s="32">
        <f t="shared" si="1"/>
        <v>261</v>
      </c>
      <c r="E49" s="33">
        <f t="shared" si="8"/>
        <v>411</v>
      </c>
      <c r="F49" s="41"/>
      <c r="G49" s="18">
        <f t="shared" si="2"/>
        <v>0</v>
      </c>
      <c r="H49" s="36">
        <f t="shared" si="3"/>
        <v>0</v>
      </c>
      <c r="I49" s="7"/>
      <c r="J49" s="18">
        <f t="shared" si="4"/>
        <v>158.01</v>
      </c>
      <c r="K49" s="37">
        <f t="shared" si="5"/>
        <v>569.01</v>
      </c>
      <c r="L49" s="23">
        <f t="shared" si="10"/>
        <v>825.06449999999995</v>
      </c>
      <c r="M49" s="23">
        <f t="shared" si="9"/>
        <v>849.81643499999996</v>
      </c>
    </row>
    <row r="50" spans="1:13" x14ac:dyDescent="0.25">
      <c r="A50" s="39" t="s">
        <v>69</v>
      </c>
      <c r="B50" s="26">
        <v>2</v>
      </c>
      <c r="C50" s="52">
        <f>((10*2)/10)*$C$1</f>
        <v>60</v>
      </c>
      <c r="D50" s="32">
        <f t="shared" si="1"/>
        <v>174</v>
      </c>
      <c r="E50" s="33">
        <f t="shared" si="8"/>
        <v>234</v>
      </c>
      <c r="F50" s="41"/>
      <c r="G50" s="18">
        <f t="shared" si="2"/>
        <v>0</v>
      </c>
      <c r="H50" s="36">
        <f t="shared" si="3"/>
        <v>0</v>
      </c>
      <c r="I50" s="7"/>
      <c r="J50" s="18">
        <f t="shared" si="4"/>
        <v>105.34</v>
      </c>
      <c r="K50" s="37">
        <f t="shared" si="5"/>
        <v>339.34000000000003</v>
      </c>
      <c r="L50" s="23">
        <f t="shared" si="10"/>
        <v>492.04300000000001</v>
      </c>
      <c r="M50" s="23">
        <f t="shared" si="9"/>
        <v>506.80429000000004</v>
      </c>
    </row>
    <row r="51" spans="1:13" x14ac:dyDescent="0.25">
      <c r="A51" s="39" t="s">
        <v>70</v>
      </c>
      <c r="B51" s="24">
        <v>2</v>
      </c>
      <c r="C51" s="52">
        <f>((8*2)/10)*C1</f>
        <v>48</v>
      </c>
      <c r="D51" s="32">
        <f t="shared" si="1"/>
        <v>174</v>
      </c>
      <c r="E51" s="33">
        <f t="shared" si="8"/>
        <v>222</v>
      </c>
      <c r="F51" s="41"/>
      <c r="G51" s="18">
        <f t="shared" si="2"/>
        <v>0</v>
      </c>
      <c r="H51" s="36">
        <f t="shared" si="3"/>
        <v>0</v>
      </c>
      <c r="I51" s="7"/>
      <c r="J51" s="18">
        <f t="shared" si="4"/>
        <v>105.34</v>
      </c>
      <c r="K51" s="37">
        <f t="shared" si="5"/>
        <v>327.34000000000003</v>
      </c>
      <c r="L51" s="23">
        <f t="shared" si="10"/>
        <v>474.64300000000003</v>
      </c>
      <c r="M51" s="23">
        <f t="shared" si="9"/>
        <v>488.88229000000007</v>
      </c>
    </row>
    <row r="52" spans="1:13" x14ac:dyDescent="0.25">
      <c r="A52" s="39" t="s">
        <v>85</v>
      </c>
      <c r="B52" s="24">
        <v>4</v>
      </c>
      <c r="C52" s="52">
        <f>((80*2)/10)*$C$1</f>
        <v>480</v>
      </c>
      <c r="D52" s="32">
        <f t="shared" si="1"/>
        <v>348</v>
      </c>
      <c r="E52" s="33">
        <f t="shared" ref="E52" si="11">B52*$D$1</f>
        <v>348</v>
      </c>
      <c r="F52" s="41"/>
      <c r="G52" s="18">
        <f t="shared" si="2"/>
        <v>0</v>
      </c>
      <c r="H52" s="36">
        <f t="shared" si="3"/>
        <v>0</v>
      </c>
      <c r="I52" s="7"/>
      <c r="J52" s="18">
        <f t="shared" si="4"/>
        <v>210.68</v>
      </c>
      <c r="K52" s="37">
        <f t="shared" si="5"/>
        <v>558.68000000000006</v>
      </c>
      <c r="L52" s="23">
        <f t="shared" si="10"/>
        <v>810.08600000000001</v>
      </c>
      <c r="M52" s="23">
        <f t="shared" si="9"/>
        <v>834.38858000000005</v>
      </c>
    </row>
    <row r="53" spans="1:13" x14ac:dyDescent="0.25">
      <c r="C53" s="37"/>
      <c r="D53" s="57"/>
      <c r="E53" s="57"/>
      <c r="F53" s="58"/>
      <c r="G53" s="57"/>
      <c r="H53" s="59"/>
      <c r="I53" s="60"/>
      <c r="J53" s="60"/>
      <c r="K53" s="57"/>
    </row>
    <row r="61" spans="1:13" x14ac:dyDescent="0.25">
      <c r="I61" s="2" t="s">
        <v>68</v>
      </c>
    </row>
  </sheetData>
  <mergeCells count="10">
    <mergeCell ref="O16:R16"/>
    <mergeCell ref="P17:Q18"/>
    <mergeCell ref="O20:R20"/>
    <mergeCell ref="P21:Q22"/>
    <mergeCell ref="O5:R5"/>
    <mergeCell ref="P6:Q7"/>
    <mergeCell ref="O9:R9"/>
    <mergeCell ref="P10:Q10"/>
    <mergeCell ref="O12:R12"/>
    <mergeCell ref="P13:Q14"/>
  </mergeCells>
  <pageMargins left="0.7" right="0.7" top="0.75" bottom="0.75" header="0.3" footer="0.3"/>
  <pageSetup paperSize="9" scale="3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7232-BA2A-4350-B67C-B7448E0A014C}">
  <dimension ref="A1:J53"/>
  <sheetViews>
    <sheetView zoomScale="95" zoomScaleNormal="95" workbookViewId="0">
      <selection sqref="A1:XFD1048576"/>
    </sheetView>
  </sheetViews>
  <sheetFormatPr baseColWidth="10" defaultRowHeight="15" x14ac:dyDescent="0.25"/>
  <cols>
    <col min="1" max="1" width="20.85546875" customWidth="1"/>
    <col min="3" max="3" width="14.28515625" customWidth="1"/>
    <col min="5" max="5" width="13.28515625" customWidth="1"/>
    <col min="6" max="6" width="17.85546875" customWidth="1"/>
    <col min="7" max="7" width="13.85546875" style="2" customWidth="1"/>
    <col min="8" max="8" width="20" customWidth="1"/>
    <col min="9" max="9" width="18.85546875" customWidth="1"/>
    <col min="10" max="10" width="16.7109375" customWidth="1"/>
  </cols>
  <sheetData>
    <row r="1" spans="1:10" ht="15.75" x14ac:dyDescent="0.25">
      <c r="C1" s="51">
        <v>30</v>
      </c>
      <c r="D1" s="61">
        <v>87</v>
      </c>
      <c r="E1" s="46"/>
      <c r="F1" s="46"/>
      <c r="G1" s="62">
        <v>52.67</v>
      </c>
    </row>
    <row r="2" spans="1:10" ht="30" x14ac:dyDescent="0.25">
      <c r="A2" s="19" t="s">
        <v>0</v>
      </c>
      <c r="B2" s="29" t="s">
        <v>46</v>
      </c>
      <c r="C2" s="34" t="s">
        <v>84</v>
      </c>
      <c r="D2" s="28" t="s">
        <v>41</v>
      </c>
      <c r="E2" s="30" t="s">
        <v>42</v>
      </c>
      <c r="F2" s="28" t="s">
        <v>71</v>
      </c>
      <c r="G2" s="29" t="s">
        <v>45</v>
      </c>
      <c r="H2" s="30" t="s">
        <v>90</v>
      </c>
      <c r="I2" s="34" t="s">
        <v>56</v>
      </c>
      <c r="J2" s="38" t="s">
        <v>48</v>
      </c>
    </row>
    <row r="3" spans="1:10" x14ac:dyDescent="0.25">
      <c r="A3" s="20" t="s">
        <v>2</v>
      </c>
      <c r="B3" s="31">
        <v>5</v>
      </c>
      <c r="C3" s="52">
        <f>((100*2)/10)*C1</f>
        <v>600</v>
      </c>
      <c r="D3" s="32">
        <f>B3*$D$1</f>
        <v>435</v>
      </c>
      <c r="E3" s="33">
        <f>C3+D3</f>
        <v>1035</v>
      </c>
      <c r="F3" s="7"/>
      <c r="G3" s="18">
        <f>B3*$G$1</f>
        <v>263.35000000000002</v>
      </c>
      <c r="H3" s="37">
        <f>E3+F3+G3</f>
        <v>1298.3499999999999</v>
      </c>
      <c r="I3" s="23">
        <f>H3*1.45</f>
        <v>1882.6074999999998</v>
      </c>
      <c r="J3" s="23">
        <f>I3*1.03</f>
        <v>1939.0857249999999</v>
      </c>
    </row>
    <row r="4" spans="1:10" x14ac:dyDescent="0.25">
      <c r="A4" s="21" t="s">
        <v>50</v>
      </c>
      <c r="B4" s="26">
        <v>5</v>
      </c>
      <c r="C4" s="52">
        <f>((100*2)/10)*C1</f>
        <v>600</v>
      </c>
      <c r="D4" s="32">
        <f t="shared" ref="D4:D52" si="0">B4*$D$1</f>
        <v>435</v>
      </c>
      <c r="E4" s="33">
        <f t="shared" ref="E4:E52" si="1">C4+D4</f>
        <v>1035</v>
      </c>
      <c r="F4" s="7"/>
      <c r="G4" s="18">
        <f t="shared" ref="G4:G51" si="2">B4*$G$1</f>
        <v>263.35000000000002</v>
      </c>
      <c r="H4" s="37">
        <f t="shared" ref="H4:H52" si="3">E4+F4+G4</f>
        <v>1298.3499999999999</v>
      </c>
      <c r="I4" s="23">
        <f t="shared" ref="I4:I35" si="4">H4*1.4</f>
        <v>1817.6899999999998</v>
      </c>
      <c r="J4" s="23">
        <f t="shared" ref="J4:J35" si="5">I4*1.03</f>
        <v>1872.2206999999999</v>
      </c>
    </row>
    <row r="5" spans="1:10" x14ac:dyDescent="0.25">
      <c r="A5" s="20" t="s">
        <v>7</v>
      </c>
      <c r="B5" s="24">
        <v>5</v>
      </c>
      <c r="C5" s="52">
        <f>((100*2)/10)*C1</f>
        <v>600</v>
      </c>
      <c r="D5" s="32">
        <f t="shared" si="0"/>
        <v>435</v>
      </c>
      <c r="E5" s="33">
        <f t="shared" si="1"/>
        <v>1035</v>
      </c>
      <c r="F5" s="7"/>
      <c r="G5" s="18">
        <f t="shared" si="2"/>
        <v>263.35000000000002</v>
      </c>
      <c r="H5" s="37">
        <f t="shared" si="3"/>
        <v>1298.3499999999999</v>
      </c>
      <c r="I5" s="23">
        <f t="shared" si="4"/>
        <v>1817.6899999999998</v>
      </c>
      <c r="J5" s="23">
        <f t="shared" si="5"/>
        <v>1872.2206999999999</v>
      </c>
    </row>
    <row r="6" spans="1:10" x14ac:dyDescent="0.25">
      <c r="A6" s="21" t="s">
        <v>8</v>
      </c>
      <c r="B6" s="26">
        <v>2</v>
      </c>
      <c r="C6" s="52">
        <f>((10*2)/10)*C1</f>
        <v>60</v>
      </c>
      <c r="D6" s="32">
        <f t="shared" si="0"/>
        <v>174</v>
      </c>
      <c r="E6" s="33">
        <f t="shared" si="1"/>
        <v>234</v>
      </c>
      <c r="F6" s="7"/>
      <c r="G6" s="18">
        <f t="shared" si="2"/>
        <v>105.34</v>
      </c>
      <c r="H6" s="37">
        <f t="shared" si="3"/>
        <v>339.34000000000003</v>
      </c>
      <c r="I6" s="23">
        <f t="shared" si="4"/>
        <v>475.07600000000002</v>
      </c>
      <c r="J6" s="23">
        <f t="shared" si="5"/>
        <v>489.32828000000006</v>
      </c>
    </row>
    <row r="7" spans="1:10" x14ac:dyDescent="0.25">
      <c r="A7" s="20" t="s">
        <v>9</v>
      </c>
      <c r="B7" s="24">
        <v>3</v>
      </c>
      <c r="C7" s="52">
        <f>((45*2)/10)*C1</f>
        <v>270</v>
      </c>
      <c r="D7" s="32">
        <f t="shared" si="0"/>
        <v>261</v>
      </c>
      <c r="E7" s="33">
        <f t="shared" si="1"/>
        <v>531</v>
      </c>
      <c r="F7" s="7"/>
      <c r="G7" s="18">
        <f t="shared" si="2"/>
        <v>158.01</v>
      </c>
      <c r="H7" s="37">
        <f t="shared" si="3"/>
        <v>689.01</v>
      </c>
      <c r="I7" s="23">
        <f t="shared" si="4"/>
        <v>964.61399999999992</v>
      </c>
      <c r="J7" s="23">
        <f t="shared" si="5"/>
        <v>993.55241999999998</v>
      </c>
    </row>
    <row r="8" spans="1:10" x14ac:dyDescent="0.25">
      <c r="A8" s="21" t="s">
        <v>10</v>
      </c>
      <c r="B8" s="26">
        <v>3</v>
      </c>
      <c r="C8" s="52">
        <f>((40*2)/10)*C1</f>
        <v>240</v>
      </c>
      <c r="D8" s="32">
        <f t="shared" si="0"/>
        <v>261</v>
      </c>
      <c r="E8" s="33">
        <f t="shared" si="1"/>
        <v>501</v>
      </c>
      <c r="F8" s="7"/>
      <c r="G8" s="18">
        <f t="shared" si="2"/>
        <v>158.01</v>
      </c>
      <c r="H8" s="37">
        <f t="shared" si="3"/>
        <v>659.01</v>
      </c>
      <c r="I8" s="23">
        <f t="shared" si="4"/>
        <v>922.61399999999992</v>
      </c>
      <c r="J8" s="23">
        <f t="shared" si="5"/>
        <v>950.29241999999999</v>
      </c>
    </row>
    <row r="9" spans="1:10" x14ac:dyDescent="0.25">
      <c r="A9" s="20" t="s">
        <v>11</v>
      </c>
      <c r="B9" s="24">
        <v>3</v>
      </c>
      <c r="C9" s="52">
        <f>((45*2)/10)*C1</f>
        <v>270</v>
      </c>
      <c r="D9" s="32">
        <f t="shared" si="0"/>
        <v>261</v>
      </c>
      <c r="E9" s="33">
        <f t="shared" si="1"/>
        <v>531</v>
      </c>
      <c r="F9" s="7"/>
      <c r="G9" s="18">
        <f t="shared" si="2"/>
        <v>158.01</v>
      </c>
      <c r="H9" s="37">
        <f t="shared" si="3"/>
        <v>689.01</v>
      </c>
      <c r="I9" s="23">
        <f t="shared" si="4"/>
        <v>964.61399999999992</v>
      </c>
      <c r="J9" s="23">
        <f t="shared" si="5"/>
        <v>993.55241999999998</v>
      </c>
    </row>
    <row r="10" spans="1:10" x14ac:dyDescent="0.25">
      <c r="A10" s="21" t="s">
        <v>12</v>
      </c>
      <c r="B10" s="26">
        <v>2</v>
      </c>
      <c r="C10" s="52">
        <f>((16*2)/10)*C8</f>
        <v>768</v>
      </c>
      <c r="D10" s="32">
        <f t="shared" si="0"/>
        <v>174</v>
      </c>
      <c r="E10" s="33">
        <f t="shared" si="1"/>
        <v>942</v>
      </c>
      <c r="F10" s="7"/>
      <c r="G10" s="18">
        <f t="shared" si="2"/>
        <v>105.34</v>
      </c>
      <c r="H10" s="37">
        <f t="shared" si="3"/>
        <v>1047.3399999999999</v>
      </c>
      <c r="I10" s="23">
        <f t="shared" si="4"/>
        <v>1466.2759999999998</v>
      </c>
      <c r="J10" s="23">
        <f t="shared" si="5"/>
        <v>1510.2642799999999</v>
      </c>
    </row>
    <row r="11" spans="1:10" x14ac:dyDescent="0.25">
      <c r="A11" s="21" t="s">
        <v>49</v>
      </c>
      <c r="B11" s="24">
        <v>5</v>
      </c>
      <c r="C11" s="52">
        <f>((200*2)/10)*C1</f>
        <v>1200</v>
      </c>
      <c r="D11" s="32">
        <f t="shared" si="0"/>
        <v>435</v>
      </c>
      <c r="E11" s="33">
        <f t="shared" si="1"/>
        <v>1635</v>
      </c>
      <c r="F11" s="7"/>
      <c r="G11" s="18">
        <f t="shared" si="2"/>
        <v>263.35000000000002</v>
      </c>
      <c r="H11" s="37">
        <f t="shared" si="3"/>
        <v>1898.35</v>
      </c>
      <c r="I11" s="23">
        <f t="shared" si="4"/>
        <v>2657.6899999999996</v>
      </c>
      <c r="J11" s="23">
        <f t="shared" si="5"/>
        <v>2737.4206999999997</v>
      </c>
    </row>
    <row r="12" spans="1:10" x14ac:dyDescent="0.25">
      <c r="A12" s="20" t="s">
        <v>14</v>
      </c>
      <c r="B12" s="26">
        <v>5</v>
      </c>
      <c r="C12" s="52">
        <f>((200*2)/10)*C1</f>
        <v>1200</v>
      </c>
      <c r="D12" s="32">
        <f t="shared" si="0"/>
        <v>435</v>
      </c>
      <c r="E12" s="33">
        <f t="shared" si="1"/>
        <v>1635</v>
      </c>
      <c r="F12" s="7"/>
      <c r="G12" s="18">
        <f t="shared" si="2"/>
        <v>263.35000000000002</v>
      </c>
      <c r="H12" s="37">
        <f t="shared" si="3"/>
        <v>1898.35</v>
      </c>
      <c r="I12" s="23">
        <f t="shared" si="4"/>
        <v>2657.6899999999996</v>
      </c>
      <c r="J12" s="23">
        <f t="shared" si="5"/>
        <v>2737.4206999999997</v>
      </c>
    </row>
    <row r="13" spans="1:10" x14ac:dyDescent="0.25">
      <c r="A13" s="21" t="s">
        <v>15</v>
      </c>
      <c r="B13" s="24">
        <v>3</v>
      </c>
      <c r="C13" s="52">
        <f>((45*2)/10)*C1</f>
        <v>270</v>
      </c>
      <c r="D13" s="32">
        <f t="shared" si="0"/>
        <v>261</v>
      </c>
      <c r="E13" s="33">
        <f t="shared" si="1"/>
        <v>531</v>
      </c>
      <c r="F13" s="7"/>
      <c r="G13" s="18">
        <f t="shared" si="2"/>
        <v>158.01</v>
      </c>
      <c r="H13" s="37">
        <f t="shared" si="3"/>
        <v>689.01</v>
      </c>
      <c r="I13" s="23">
        <f t="shared" si="4"/>
        <v>964.61399999999992</v>
      </c>
      <c r="J13" s="23">
        <f t="shared" si="5"/>
        <v>993.55241999999998</v>
      </c>
    </row>
    <row r="14" spans="1:10" x14ac:dyDescent="0.25">
      <c r="A14" s="20" t="s">
        <v>16</v>
      </c>
      <c r="B14" s="26">
        <v>3</v>
      </c>
      <c r="C14" s="52">
        <f>((11*2)/10)*C1</f>
        <v>66</v>
      </c>
      <c r="D14" s="32">
        <f t="shared" si="0"/>
        <v>261</v>
      </c>
      <c r="E14" s="33">
        <f t="shared" si="1"/>
        <v>327</v>
      </c>
      <c r="F14" s="7"/>
      <c r="G14" s="18">
        <f t="shared" si="2"/>
        <v>158.01</v>
      </c>
      <c r="H14" s="37">
        <f t="shared" si="3"/>
        <v>485.01</v>
      </c>
      <c r="I14" s="23">
        <f t="shared" si="4"/>
        <v>679.0139999999999</v>
      </c>
      <c r="J14" s="23">
        <f t="shared" si="5"/>
        <v>699.38441999999986</v>
      </c>
    </row>
    <row r="15" spans="1:10" x14ac:dyDescent="0.25">
      <c r="A15" s="21" t="s">
        <v>17</v>
      </c>
      <c r="B15" s="24">
        <v>5</v>
      </c>
      <c r="C15" s="52">
        <f>((200*2)/10)*C1</f>
        <v>1200</v>
      </c>
      <c r="D15" s="32">
        <f t="shared" si="0"/>
        <v>435</v>
      </c>
      <c r="E15" s="33">
        <f t="shared" si="1"/>
        <v>1635</v>
      </c>
      <c r="F15" s="7"/>
      <c r="G15" s="18">
        <f t="shared" si="2"/>
        <v>263.35000000000002</v>
      </c>
      <c r="H15" s="37">
        <f t="shared" si="3"/>
        <v>1898.35</v>
      </c>
      <c r="I15" s="23">
        <f t="shared" si="4"/>
        <v>2657.6899999999996</v>
      </c>
      <c r="J15" s="23">
        <f t="shared" si="5"/>
        <v>2737.4206999999997</v>
      </c>
    </row>
    <row r="16" spans="1:10" x14ac:dyDescent="0.25">
      <c r="A16" s="20" t="s">
        <v>18</v>
      </c>
      <c r="B16" s="26">
        <v>3</v>
      </c>
      <c r="C16" s="52">
        <f>((35*2)/10)*C1</f>
        <v>210</v>
      </c>
      <c r="D16" s="32">
        <f t="shared" si="0"/>
        <v>261</v>
      </c>
      <c r="E16" s="33">
        <f t="shared" si="1"/>
        <v>471</v>
      </c>
      <c r="F16" s="7"/>
      <c r="G16" s="18">
        <f t="shared" si="2"/>
        <v>158.01</v>
      </c>
      <c r="H16" s="37">
        <f t="shared" si="3"/>
        <v>629.01</v>
      </c>
      <c r="I16" s="23">
        <f t="shared" si="4"/>
        <v>880.61399999999992</v>
      </c>
      <c r="J16" s="23">
        <f t="shared" si="5"/>
        <v>907.03241999999989</v>
      </c>
    </row>
    <row r="17" spans="1:10" x14ac:dyDescent="0.25">
      <c r="A17" s="21" t="s">
        <v>19</v>
      </c>
      <c r="B17" s="24">
        <v>3</v>
      </c>
      <c r="C17" s="52">
        <f>((35*2)/10)*C1</f>
        <v>210</v>
      </c>
      <c r="D17" s="32">
        <f t="shared" si="0"/>
        <v>261</v>
      </c>
      <c r="E17" s="33">
        <f t="shared" si="1"/>
        <v>471</v>
      </c>
      <c r="F17" s="7"/>
      <c r="G17" s="18">
        <f t="shared" si="2"/>
        <v>158.01</v>
      </c>
      <c r="H17" s="37">
        <f t="shared" si="3"/>
        <v>629.01</v>
      </c>
      <c r="I17" s="23">
        <f t="shared" si="4"/>
        <v>880.61399999999992</v>
      </c>
      <c r="J17" s="23">
        <f t="shared" si="5"/>
        <v>907.03241999999989</v>
      </c>
    </row>
    <row r="18" spans="1:10" x14ac:dyDescent="0.25">
      <c r="A18" s="20" t="s">
        <v>20</v>
      </c>
      <c r="B18" s="26">
        <v>3</v>
      </c>
      <c r="C18" s="52">
        <f>((37*2)/10)*C1</f>
        <v>222</v>
      </c>
      <c r="D18" s="32">
        <f t="shared" si="0"/>
        <v>261</v>
      </c>
      <c r="E18" s="33">
        <f t="shared" si="1"/>
        <v>483</v>
      </c>
      <c r="F18" s="7"/>
      <c r="G18" s="18">
        <f t="shared" si="2"/>
        <v>158.01</v>
      </c>
      <c r="H18" s="37">
        <f t="shared" si="3"/>
        <v>641.01</v>
      </c>
      <c r="I18" s="23">
        <f t="shared" si="4"/>
        <v>897.41399999999987</v>
      </c>
      <c r="J18" s="23">
        <f t="shared" si="5"/>
        <v>924.33641999999986</v>
      </c>
    </row>
    <row r="19" spans="1:10" x14ac:dyDescent="0.25">
      <c r="A19" s="21" t="s">
        <v>21</v>
      </c>
      <c r="B19" s="24">
        <v>2</v>
      </c>
      <c r="C19" s="52">
        <f>((9*2)/10)*C1</f>
        <v>54</v>
      </c>
      <c r="D19" s="32">
        <f t="shared" si="0"/>
        <v>174</v>
      </c>
      <c r="E19" s="33">
        <f t="shared" si="1"/>
        <v>228</v>
      </c>
      <c r="F19" s="7"/>
      <c r="G19" s="18">
        <f t="shared" si="2"/>
        <v>105.34</v>
      </c>
      <c r="H19" s="37">
        <f t="shared" si="3"/>
        <v>333.34000000000003</v>
      </c>
      <c r="I19" s="23">
        <f t="shared" si="4"/>
        <v>466.67599999999999</v>
      </c>
      <c r="J19" s="23">
        <f t="shared" si="5"/>
        <v>480.67628000000002</v>
      </c>
    </row>
    <row r="20" spans="1:10" x14ac:dyDescent="0.25">
      <c r="A20" s="20" t="s">
        <v>22</v>
      </c>
      <c r="B20" s="26">
        <v>2</v>
      </c>
      <c r="C20" s="52">
        <f>((6*2)/10)*C1</f>
        <v>36</v>
      </c>
      <c r="D20" s="32">
        <f t="shared" si="0"/>
        <v>174</v>
      </c>
      <c r="E20" s="33">
        <f t="shared" si="1"/>
        <v>210</v>
      </c>
      <c r="F20" s="7"/>
      <c r="G20" s="18">
        <f t="shared" si="2"/>
        <v>105.34</v>
      </c>
      <c r="H20" s="37">
        <f t="shared" si="3"/>
        <v>315.34000000000003</v>
      </c>
      <c r="I20" s="23">
        <f t="shared" si="4"/>
        <v>441.476</v>
      </c>
      <c r="J20" s="23">
        <f t="shared" si="5"/>
        <v>454.72028</v>
      </c>
    </row>
    <row r="21" spans="1:10" x14ac:dyDescent="0.25">
      <c r="A21" s="21" t="s">
        <v>23</v>
      </c>
      <c r="B21" s="24">
        <v>2</v>
      </c>
      <c r="C21" s="52">
        <f>((36*2)/10)*C1</f>
        <v>216</v>
      </c>
      <c r="D21" s="32">
        <f t="shared" si="0"/>
        <v>174</v>
      </c>
      <c r="E21" s="33">
        <f t="shared" si="1"/>
        <v>390</v>
      </c>
      <c r="F21" s="7"/>
      <c r="G21" s="18">
        <f t="shared" si="2"/>
        <v>105.34</v>
      </c>
      <c r="H21" s="37">
        <f t="shared" si="3"/>
        <v>495.34000000000003</v>
      </c>
      <c r="I21" s="23">
        <f t="shared" si="4"/>
        <v>693.476</v>
      </c>
      <c r="J21" s="23">
        <f t="shared" si="5"/>
        <v>714.28028000000006</v>
      </c>
    </row>
    <row r="22" spans="1:10" x14ac:dyDescent="0.25">
      <c r="A22" s="20" t="s">
        <v>24</v>
      </c>
      <c r="B22" s="26">
        <v>3</v>
      </c>
      <c r="C22" s="52">
        <f>((70*2)/10)*C1</f>
        <v>420</v>
      </c>
      <c r="D22" s="32">
        <f t="shared" si="0"/>
        <v>261</v>
      </c>
      <c r="E22" s="33">
        <f t="shared" si="1"/>
        <v>681</v>
      </c>
      <c r="F22" s="7"/>
      <c r="G22" s="18">
        <f t="shared" si="2"/>
        <v>158.01</v>
      </c>
      <c r="H22" s="37">
        <f t="shared" si="3"/>
        <v>839.01</v>
      </c>
      <c r="I22" s="23">
        <f t="shared" si="4"/>
        <v>1174.6139999999998</v>
      </c>
      <c r="J22" s="23">
        <f t="shared" si="5"/>
        <v>1209.8524199999999</v>
      </c>
    </row>
    <row r="23" spans="1:10" x14ac:dyDescent="0.25">
      <c r="A23" s="21" t="s">
        <v>25</v>
      </c>
      <c r="B23" s="24">
        <v>1</v>
      </c>
      <c r="C23" s="52">
        <f>((27*2)/10)*C1</f>
        <v>162</v>
      </c>
      <c r="D23" s="32">
        <f t="shared" si="0"/>
        <v>87</v>
      </c>
      <c r="E23" s="33">
        <f t="shared" si="1"/>
        <v>249</v>
      </c>
      <c r="F23" s="7"/>
      <c r="G23" s="18">
        <f t="shared" si="2"/>
        <v>52.67</v>
      </c>
      <c r="H23" s="37">
        <f t="shared" si="3"/>
        <v>301.67</v>
      </c>
      <c r="I23" s="23">
        <f t="shared" si="4"/>
        <v>422.33800000000002</v>
      </c>
      <c r="J23" s="23">
        <f t="shared" si="5"/>
        <v>435.00814000000003</v>
      </c>
    </row>
    <row r="24" spans="1:10" x14ac:dyDescent="0.25">
      <c r="A24" s="20" t="s">
        <v>26</v>
      </c>
      <c r="B24" s="26">
        <v>3</v>
      </c>
      <c r="C24" s="52">
        <f>((76*2)/10)*C1</f>
        <v>456</v>
      </c>
      <c r="D24" s="32">
        <f t="shared" si="0"/>
        <v>261</v>
      </c>
      <c r="E24" s="33">
        <f t="shared" si="1"/>
        <v>717</v>
      </c>
      <c r="F24" s="7"/>
      <c r="G24" s="18">
        <f t="shared" si="2"/>
        <v>158.01</v>
      </c>
      <c r="H24" s="37">
        <f t="shared" si="3"/>
        <v>875.01</v>
      </c>
      <c r="I24" s="23">
        <f t="shared" si="4"/>
        <v>1225.0139999999999</v>
      </c>
      <c r="J24" s="23">
        <f t="shared" si="5"/>
        <v>1261.76442</v>
      </c>
    </row>
    <row r="25" spans="1:10" x14ac:dyDescent="0.25">
      <c r="A25" s="21" t="s">
        <v>27</v>
      </c>
      <c r="B25" s="24">
        <v>3</v>
      </c>
      <c r="C25" s="52">
        <f>((70*2)/10)*C1</f>
        <v>420</v>
      </c>
      <c r="D25" s="32">
        <f t="shared" si="0"/>
        <v>261</v>
      </c>
      <c r="E25" s="33">
        <f t="shared" si="1"/>
        <v>681</v>
      </c>
      <c r="F25" s="7"/>
      <c r="G25" s="18">
        <f t="shared" si="2"/>
        <v>158.01</v>
      </c>
      <c r="H25" s="37">
        <f t="shared" si="3"/>
        <v>839.01</v>
      </c>
      <c r="I25" s="23">
        <f t="shared" si="4"/>
        <v>1174.6139999999998</v>
      </c>
      <c r="J25" s="23">
        <f t="shared" si="5"/>
        <v>1209.8524199999999</v>
      </c>
    </row>
    <row r="26" spans="1:10" x14ac:dyDescent="0.25">
      <c r="A26" s="20" t="s">
        <v>28</v>
      </c>
      <c r="B26" s="26">
        <v>3</v>
      </c>
      <c r="C26" s="52">
        <f>((70*2)/10)*C1</f>
        <v>420</v>
      </c>
      <c r="D26" s="32">
        <f t="shared" si="0"/>
        <v>261</v>
      </c>
      <c r="E26" s="33">
        <f t="shared" si="1"/>
        <v>681</v>
      </c>
      <c r="F26" s="7"/>
      <c r="G26" s="18">
        <f t="shared" si="2"/>
        <v>158.01</v>
      </c>
      <c r="H26" s="37">
        <f t="shared" si="3"/>
        <v>839.01</v>
      </c>
      <c r="I26" s="23">
        <f t="shared" si="4"/>
        <v>1174.6139999999998</v>
      </c>
      <c r="J26" s="23">
        <f t="shared" si="5"/>
        <v>1209.8524199999999</v>
      </c>
    </row>
    <row r="27" spans="1:10" x14ac:dyDescent="0.25">
      <c r="A27" s="21" t="s">
        <v>29</v>
      </c>
      <c r="B27" s="24">
        <v>2</v>
      </c>
      <c r="C27" s="52">
        <f>((36*2)/10)*C1</f>
        <v>216</v>
      </c>
      <c r="D27" s="32">
        <f t="shared" si="0"/>
        <v>174</v>
      </c>
      <c r="E27" s="33">
        <f t="shared" si="1"/>
        <v>390</v>
      </c>
      <c r="F27" s="7"/>
      <c r="G27" s="18">
        <f t="shared" si="2"/>
        <v>105.34</v>
      </c>
      <c r="H27" s="37">
        <f t="shared" si="3"/>
        <v>495.34000000000003</v>
      </c>
      <c r="I27" s="23">
        <f>H27*1.4</f>
        <v>693.476</v>
      </c>
      <c r="J27" s="23">
        <f>I27*1.03</f>
        <v>714.28028000000006</v>
      </c>
    </row>
    <row r="28" spans="1:10" x14ac:dyDescent="0.25">
      <c r="A28" s="20" t="s">
        <v>30</v>
      </c>
      <c r="B28" s="26">
        <v>3</v>
      </c>
      <c r="C28" s="52">
        <f>((16*2)/10)*C1</f>
        <v>96</v>
      </c>
      <c r="D28" s="32">
        <f t="shared" si="0"/>
        <v>261</v>
      </c>
      <c r="E28" s="33">
        <f t="shared" si="1"/>
        <v>357</v>
      </c>
      <c r="F28" s="7"/>
      <c r="G28" s="18">
        <f t="shared" si="2"/>
        <v>158.01</v>
      </c>
      <c r="H28" s="37">
        <f t="shared" si="3"/>
        <v>515.01</v>
      </c>
      <c r="I28" s="23">
        <f t="shared" si="4"/>
        <v>721.0139999999999</v>
      </c>
      <c r="J28" s="23">
        <f t="shared" si="5"/>
        <v>742.64441999999997</v>
      </c>
    </row>
    <row r="29" spans="1:10" x14ac:dyDescent="0.25">
      <c r="A29" s="21" t="s">
        <v>31</v>
      </c>
      <c r="B29" s="24">
        <v>2</v>
      </c>
      <c r="C29" s="52">
        <f>((32*2)/10)*C1</f>
        <v>192</v>
      </c>
      <c r="D29" s="32">
        <f t="shared" si="0"/>
        <v>174</v>
      </c>
      <c r="E29" s="33">
        <f t="shared" si="1"/>
        <v>366</v>
      </c>
      <c r="F29" s="7"/>
      <c r="G29" s="18">
        <f t="shared" si="2"/>
        <v>105.34</v>
      </c>
      <c r="H29" s="37">
        <f t="shared" si="3"/>
        <v>471.34000000000003</v>
      </c>
      <c r="I29" s="23">
        <f t="shared" si="4"/>
        <v>659.87599999999998</v>
      </c>
      <c r="J29" s="23">
        <f t="shared" si="5"/>
        <v>679.67228</v>
      </c>
    </row>
    <row r="30" spans="1:10" x14ac:dyDescent="0.25">
      <c r="A30" s="22" t="s">
        <v>38</v>
      </c>
      <c r="B30" s="26">
        <v>2</v>
      </c>
      <c r="C30" s="52">
        <f>((8*2)/10)*C1</f>
        <v>48</v>
      </c>
      <c r="D30" s="32">
        <f t="shared" si="0"/>
        <v>174</v>
      </c>
      <c r="E30" s="33">
        <f t="shared" si="1"/>
        <v>222</v>
      </c>
      <c r="F30" s="7"/>
      <c r="G30" s="18">
        <f t="shared" si="2"/>
        <v>105.34</v>
      </c>
      <c r="H30" s="37">
        <f t="shared" si="3"/>
        <v>327.34000000000003</v>
      </c>
      <c r="I30" s="23">
        <f t="shared" si="4"/>
        <v>458.27600000000001</v>
      </c>
      <c r="J30" s="23">
        <f t="shared" si="5"/>
        <v>472.02428000000003</v>
      </c>
    </row>
    <row r="31" spans="1:10" x14ac:dyDescent="0.25">
      <c r="A31" s="21" t="s">
        <v>32</v>
      </c>
      <c r="B31" s="24">
        <v>5</v>
      </c>
      <c r="C31" s="52">
        <f>((200*2)/10)*C1</f>
        <v>1200</v>
      </c>
      <c r="D31" s="32">
        <f t="shared" si="0"/>
        <v>435</v>
      </c>
      <c r="E31" s="33">
        <f t="shared" si="1"/>
        <v>1635</v>
      </c>
      <c r="F31" s="7"/>
      <c r="G31" s="18">
        <f t="shared" si="2"/>
        <v>263.35000000000002</v>
      </c>
      <c r="H31" s="37">
        <f t="shared" si="3"/>
        <v>1898.35</v>
      </c>
      <c r="I31" s="23">
        <f t="shared" si="4"/>
        <v>2657.6899999999996</v>
      </c>
      <c r="J31" s="23">
        <f t="shared" si="5"/>
        <v>2737.4206999999997</v>
      </c>
    </row>
    <row r="32" spans="1:10" x14ac:dyDescent="0.25">
      <c r="A32" s="20" t="s">
        <v>33</v>
      </c>
      <c r="B32" s="26">
        <v>2</v>
      </c>
      <c r="C32" s="52">
        <f>((13*2)/10)*C1</f>
        <v>78</v>
      </c>
      <c r="D32" s="32">
        <f t="shared" si="0"/>
        <v>174</v>
      </c>
      <c r="E32" s="33">
        <f t="shared" si="1"/>
        <v>252</v>
      </c>
      <c r="F32" s="7"/>
      <c r="G32" s="18">
        <f t="shared" si="2"/>
        <v>105.34</v>
      </c>
      <c r="H32" s="37">
        <f t="shared" si="3"/>
        <v>357.34000000000003</v>
      </c>
      <c r="I32" s="23">
        <f t="shared" si="4"/>
        <v>500.27600000000001</v>
      </c>
      <c r="J32" s="23">
        <f t="shared" si="5"/>
        <v>515.28428000000008</v>
      </c>
    </row>
    <row r="33" spans="1:10" x14ac:dyDescent="0.25">
      <c r="A33" s="21" t="s">
        <v>34</v>
      </c>
      <c r="B33" s="24">
        <v>2</v>
      </c>
      <c r="C33" s="52">
        <f>((15*2)/10)*C1</f>
        <v>90</v>
      </c>
      <c r="D33" s="32">
        <f t="shared" si="0"/>
        <v>174</v>
      </c>
      <c r="E33" s="33">
        <f t="shared" si="1"/>
        <v>264</v>
      </c>
      <c r="F33" s="7"/>
      <c r="G33" s="18">
        <f t="shared" si="2"/>
        <v>105.34</v>
      </c>
      <c r="H33" s="37">
        <f t="shared" si="3"/>
        <v>369.34000000000003</v>
      </c>
      <c r="I33" s="23">
        <f t="shared" si="4"/>
        <v>517.07600000000002</v>
      </c>
      <c r="J33" s="23">
        <f t="shared" si="5"/>
        <v>532.58828000000005</v>
      </c>
    </row>
    <row r="34" spans="1:10" x14ac:dyDescent="0.25">
      <c r="A34" s="39" t="s">
        <v>51</v>
      </c>
      <c r="B34" s="26">
        <v>4</v>
      </c>
      <c r="C34" s="52">
        <f>((110*2)/10)*C1</f>
        <v>660</v>
      </c>
      <c r="D34" s="32">
        <f t="shared" si="0"/>
        <v>348</v>
      </c>
      <c r="E34" s="33">
        <f>C34+D34</f>
        <v>1008</v>
      </c>
      <c r="F34" s="7"/>
      <c r="G34" s="18">
        <f t="shared" si="2"/>
        <v>210.68</v>
      </c>
      <c r="H34" s="37">
        <f t="shared" si="3"/>
        <v>1218.68</v>
      </c>
      <c r="I34" s="23">
        <f t="shared" si="4"/>
        <v>1706.152</v>
      </c>
      <c r="J34" s="23">
        <f t="shared" si="5"/>
        <v>1757.3365600000002</v>
      </c>
    </row>
    <row r="35" spans="1:10" x14ac:dyDescent="0.25">
      <c r="A35" s="39" t="s">
        <v>52</v>
      </c>
      <c r="B35" s="40">
        <v>4</v>
      </c>
      <c r="C35" s="52">
        <f>((80*2)/10)*C1</f>
        <v>480</v>
      </c>
      <c r="D35" s="32">
        <f t="shared" si="0"/>
        <v>348</v>
      </c>
      <c r="E35" s="33">
        <f t="shared" si="1"/>
        <v>828</v>
      </c>
      <c r="F35" s="7"/>
      <c r="G35" s="18">
        <f t="shared" si="2"/>
        <v>210.68</v>
      </c>
      <c r="H35" s="37">
        <f t="shared" si="3"/>
        <v>1038.68</v>
      </c>
      <c r="I35" s="23">
        <f t="shared" si="4"/>
        <v>1454.152</v>
      </c>
      <c r="J35" s="23">
        <f t="shared" si="5"/>
        <v>1497.77656</v>
      </c>
    </row>
    <row r="36" spans="1:10" x14ac:dyDescent="0.25">
      <c r="A36" s="39" t="s">
        <v>53</v>
      </c>
      <c r="B36" s="24">
        <v>3</v>
      </c>
      <c r="C36" s="52">
        <f>((9*2)/10)*C1</f>
        <v>54</v>
      </c>
      <c r="D36" s="32">
        <f t="shared" si="0"/>
        <v>261</v>
      </c>
      <c r="E36" s="33">
        <f t="shared" si="1"/>
        <v>315</v>
      </c>
      <c r="F36" s="7"/>
      <c r="G36" s="18">
        <f t="shared" si="2"/>
        <v>158.01</v>
      </c>
      <c r="H36" s="37">
        <f t="shared" si="3"/>
        <v>473.01</v>
      </c>
      <c r="I36" s="23">
        <f>H36*1.4</f>
        <v>662.21399999999994</v>
      </c>
      <c r="J36" s="23">
        <f t="shared" ref="J36:J52" si="6">I36*1.03</f>
        <v>682.08042</v>
      </c>
    </row>
    <row r="37" spans="1:10" x14ac:dyDescent="0.25">
      <c r="A37" s="39" t="s">
        <v>54</v>
      </c>
      <c r="B37" s="24">
        <v>3</v>
      </c>
      <c r="C37" s="52">
        <f>((20*2)/10)*C1</f>
        <v>120</v>
      </c>
      <c r="D37" s="32">
        <f t="shared" si="0"/>
        <v>261</v>
      </c>
      <c r="E37" s="33">
        <f t="shared" si="1"/>
        <v>381</v>
      </c>
      <c r="F37" s="7"/>
      <c r="G37" s="18">
        <f t="shared" si="2"/>
        <v>158.01</v>
      </c>
      <c r="H37" s="37">
        <f t="shared" si="3"/>
        <v>539.01</v>
      </c>
      <c r="I37" s="23">
        <f>H37*1.4</f>
        <v>754.61399999999992</v>
      </c>
      <c r="J37" s="23">
        <f t="shared" si="6"/>
        <v>777.25241999999992</v>
      </c>
    </row>
    <row r="38" spans="1:10" x14ac:dyDescent="0.25">
      <c r="A38" s="39" t="s">
        <v>55</v>
      </c>
      <c r="B38" s="24">
        <v>2</v>
      </c>
      <c r="C38" s="52">
        <f>((6*2)/10)*C1</f>
        <v>36</v>
      </c>
      <c r="D38" s="32">
        <f t="shared" si="0"/>
        <v>174</v>
      </c>
      <c r="E38" s="33">
        <f t="shared" si="1"/>
        <v>210</v>
      </c>
      <c r="F38" s="7"/>
      <c r="G38" s="18">
        <f t="shared" si="2"/>
        <v>105.34</v>
      </c>
      <c r="H38" s="37">
        <f t="shared" si="3"/>
        <v>315.34000000000003</v>
      </c>
      <c r="I38" s="23">
        <f t="shared" ref="I38:I52" si="7">H38*1.45</f>
        <v>457.24300000000005</v>
      </c>
      <c r="J38" s="23">
        <f t="shared" si="6"/>
        <v>470.96029000000004</v>
      </c>
    </row>
    <row r="39" spans="1:10" x14ac:dyDescent="0.25">
      <c r="A39" s="39" t="s">
        <v>57</v>
      </c>
      <c r="B39" s="24">
        <v>2</v>
      </c>
      <c r="C39" s="52">
        <f>((8*2)/10)*C1</f>
        <v>48</v>
      </c>
      <c r="D39" s="32">
        <f t="shared" si="0"/>
        <v>174</v>
      </c>
      <c r="E39" s="33">
        <f t="shared" si="1"/>
        <v>222</v>
      </c>
      <c r="F39" s="7"/>
      <c r="G39" s="18">
        <f t="shared" si="2"/>
        <v>105.34</v>
      </c>
      <c r="H39" s="37">
        <f t="shared" si="3"/>
        <v>327.34000000000003</v>
      </c>
      <c r="I39" s="23">
        <f t="shared" si="7"/>
        <v>474.64300000000003</v>
      </c>
      <c r="J39" s="23">
        <f t="shared" si="6"/>
        <v>488.88229000000007</v>
      </c>
    </row>
    <row r="40" spans="1:10" x14ac:dyDescent="0.25">
      <c r="A40" s="39" t="s">
        <v>58</v>
      </c>
      <c r="B40" s="24">
        <v>2</v>
      </c>
      <c r="C40" s="52">
        <f>((8*2)/10)*C1</f>
        <v>48</v>
      </c>
      <c r="D40" s="32">
        <f t="shared" si="0"/>
        <v>174</v>
      </c>
      <c r="E40" s="33">
        <f t="shared" si="1"/>
        <v>222</v>
      </c>
      <c r="F40" s="7"/>
      <c r="G40" s="18">
        <f t="shared" si="2"/>
        <v>105.34</v>
      </c>
      <c r="H40" s="37">
        <f t="shared" si="3"/>
        <v>327.34000000000003</v>
      </c>
      <c r="I40" s="23">
        <f t="shared" si="7"/>
        <v>474.64300000000003</v>
      </c>
      <c r="J40" s="23">
        <f t="shared" si="6"/>
        <v>488.88229000000007</v>
      </c>
    </row>
    <row r="41" spans="1:10" x14ac:dyDescent="0.25">
      <c r="A41" s="39" t="s">
        <v>59</v>
      </c>
      <c r="B41" s="24">
        <v>2</v>
      </c>
      <c r="C41" s="52">
        <f>((40*2)/10)*C1</f>
        <v>240</v>
      </c>
      <c r="D41" s="32">
        <f t="shared" si="0"/>
        <v>174</v>
      </c>
      <c r="E41" s="33">
        <f t="shared" si="1"/>
        <v>414</v>
      </c>
      <c r="F41" s="7"/>
      <c r="G41" s="18">
        <f t="shared" si="2"/>
        <v>105.34</v>
      </c>
      <c r="H41" s="37">
        <f t="shared" si="3"/>
        <v>519.34</v>
      </c>
      <c r="I41" s="23">
        <f t="shared" si="7"/>
        <v>753.04300000000001</v>
      </c>
      <c r="J41" s="23">
        <f t="shared" si="6"/>
        <v>775.63429000000008</v>
      </c>
    </row>
    <row r="42" spans="1:10" x14ac:dyDescent="0.25">
      <c r="A42" s="39" t="s">
        <v>60</v>
      </c>
      <c r="B42" s="26">
        <v>3</v>
      </c>
      <c r="C42" s="52">
        <f>((7*2)/10)*C1</f>
        <v>42</v>
      </c>
      <c r="D42" s="32">
        <f t="shared" si="0"/>
        <v>261</v>
      </c>
      <c r="E42" s="33">
        <f t="shared" si="1"/>
        <v>303</v>
      </c>
      <c r="F42" s="7"/>
      <c r="G42" s="18">
        <f t="shared" si="2"/>
        <v>158.01</v>
      </c>
      <c r="H42" s="37">
        <f t="shared" si="3"/>
        <v>461.01</v>
      </c>
      <c r="I42" s="23">
        <f t="shared" si="7"/>
        <v>668.46449999999993</v>
      </c>
      <c r="J42" s="23">
        <f t="shared" si="6"/>
        <v>688.51843499999995</v>
      </c>
    </row>
    <row r="43" spans="1:10" x14ac:dyDescent="0.25">
      <c r="A43" s="39" t="s">
        <v>61</v>
      </c>
      <c r="B43" s="24">
        <v>2</v>
      </c>
      <c r="C43" s="52">
        <f>((8*2)/10)*C1</f>
        <v>48</v>
      </c>
      <c r="D43" s="32">
        <f t="shared" si="0"/>
        <v>174</v>
      </c>
      <c r="E43" s="33">
        <f t="shared" si="1"/>
        <v>222</v>
      </c>
      <c r="F43" s="7"/>
      <c r="G43" s="18">
        <f t="shared" si="2"/>
        <v>105.34</v>
      </c>
      <c r="H43" s="37">
        <f t="shared" si="3"/>
        <v>327.34000000000003</v>
      </c>
      <c r="I43" s="23">
        <f t="shared" si="7"/>
        <v>474.64300000000003</v>
      </c>
      <c r="J43" s="23">
        <f t="shared" si="6"/>
        <v>488.88229000000007</v>
      </c>
    </row>
    <row r="44" spans="1:10" x14ac:dyDescent="0.25">
      <c r="A44" s="39" t="s">
        <v>62</v>
      </c>
      <c r="B44" s="24">
        <v>2</v>
      </c>
      <c r="C44" s="52">
        <f>((10*2)/10)*C1</f>
        <v>60</v>
      </c>
      <c r="D44" s="32">
        <f t="shared" si="0"/>
        <v>174</v>
      </c>
      <c r="E44" s="33">
        <f t="shared" si="1"/>
        <v>234</v>
      </c>
      <c r="F44" s="7"/>
      <c r="G44" s="18">
        <f t="shared" si="2"/>
        <v>105.34</v>
      </c>
      <c r="H44" s="37">
        <f t="shared" si="3"/>
        <v>339.34000000000003</v>
      </c>
      <c r="I44" s="23">
        <f t="shared" si="7"/>
        <v>492.04300000000001</v>
      </c>
      <c r="J44" s="23">
        <f t="shared" si="6"/>
        <v>506.80429000000004</v>
      </c>
    </row>
    <row r="45" spans="1:10" x14ac:dyDescent="0.25">
      <c r="A45" s="39" t="s">
        <v>63</v>
      </c>
      <c r="B45" s="24">
        <v>2</v>
      </c>
      <c r="C45" s="52">
        <f>((6*2)/10)*C1</f>
        <v>36</v>
      </c>
      <c r="D45" s="32">
        <f t="shared" si="0"/>
        <v>174</v>
      </c>
      <c r="E45" s="33">
        <f t="shared" si="1"/>
        <v>210</v>
      </c>
      <c r="F45" s="7"/>
      <c r="G45" s="18">
        <f t="shared" si="2"/>
        <v>105.34</v>
      </c>
      <c r="H45" s="37">
        <f t="shared" si="3"/>
        <v>315.34000000000003</v>
      </c>
      <c r="I45" s="23">
        <f t="shared" si="7"/>
        <v>457.24300000000005</v>
      </c>
      <c r="J45" s="23">
        <f t="shared" si="6"/>
        <v>470.96029000000004</v>
      </c>
    </row>
    <row r="46" spans="1:10" x14ac:dyDescent="0.25">
      <c r="A46" s="39" t="s">
        <v>64</v>
      </c>
      <c r="B46" s="24">
        <v>2</v>
      </c>
      <c r="C46" s="52">
        <f>((8*2)/10)*C1</f>
        <v>48</v>
      </c>
      <c r="D46" s="32">
        <f t="shared" si="0"/>
        <v>174</v>
      </c>
      <c r="E46" s="33">
        <f t="shared" si="1"/>
        <v>222</v>
      </c>
      <c r="F46" s="7"/>
      <c r="G46" s="18">
        <f t="shared" si="2"/>
        <v>105.34</v>
      </c>
      <c r="H46" s="37">
        <f t="shared" si="3"/>
        <v>327.34000000000003</v>
      </c>
      <c r="I46" s="23">
        <f t="shared" si="7"/>
        <v>474.64300000000003</v>
      </c>
      <c r="J46" s="23">
        <f t="shared" si="6"/>
        <v>488.88229000000007</v>
      </c>
    </row>
    <row r="47" spans="1:10" x14ac:dyDescent="0.25">
      <c r="A47" s="39" t="s">
        <v>65</v>
      </c>
      <c r="B47" s="24">
        <v>2</v>
      </c>
      <c r="C47" s="52">
        <f>((20*2)/10)*C1</f>
        <v>120</v>
      </c>
      <c r="D47" s="32">
        <f t="shared" si="0"/>
        <v>174</v>
      </c>
      <c r="E47" s="33">
        <f t="shared" si="1"/>
        <v>294</v>
      </c>
      <c r="F47" s="7"/>
      <c r="G47" s="18">
        <f t="shared" si="2"/>
        <v>105.34</v>
      </c>
      <c r="H47" s="37">
        <f t="shared" si="3"/>
        <v>399.34000000000003</v>
      </c>
      <c r="I47" s="23">
        <f t="shared" si="7"/>
        <v>579.04300000000001</v>
      </c>
      <c r="J47" s="23">
        <f t="shared" si="6"/>
        <v>596.41429000000005</v>
      </c>
    </row>
    <row r="48" spans="1:10" x14ac:dyDescent="0.25">
      <c r="A48" s="39" t="s">
        <v>66</v>
      </c>
      <c r="B48" s="24">
        <v>2</v>
      </c>
      <c r="C48" s="52">
        <f>((36*2)/10)*C1</f>
        <v>216</v>
      </c>
      <c r="D48" s="32">
        <f t="shared" si="0"/>
        <v>174</v>
      </c>
      <c r="E48" s="33">
        <f t="shared" si="1"/>
        <v>390</v>
      </c>
      <c r="F48" s="7"/>
      <c r="G48" s="18">
        <f t="shared" si="2"/>
        <v>105.34</v>
      </c>
      <c r="H48" s="37">
        <f t="shared" si="3"/>
        <v>495.34000000000003</v>
      </c>
      <c r="I48" s="23">
        <f t="shared" si="7"/>
        <v>718.24300000000005</v>
      </c>
      <c r="J48" s="23">
        <f t="shared" si="6"/>
        <v>739.79029000000003</v>
      </c>
    </row>
    <row r="49" spans="1:10" x14ac:dyDescent="0.25">
      <c r="A49" s="39" t="s">
        <v>67</v>
      </c>
      <c r="B49" s="26">
        <v>3</v>
      </c>
      <c r="C49" s="52">
        <f>((25*2)/10)*C1</f>
        <v>150</v>
      </c>
      <c r="D49" s="32">
        <f t="shared" si="0"/>
        <v>261</v>
      </c>
      <c r="E49" s="33">
        <f t="shared" si="1"/>
        <v>411</v>
      </c>
      <c r="F49" s="7"/>
      <c r="G49" s="18">
        <f t="shared" si="2"/>
        <v>158.01</v>
      </c>
      <c r="H49" s="37">
        <f t="shared" si="3"/>
        <v>569.01</v>
      </c>
      <c r="I49" s="23">
        <f t="shared" si="7"/>
        <v>825.06449999999995</v>
      </c>
      <c r="J49" s="23">
        <f t="shared" si="6"/>
        <v>849.81643499999996</v>
      </c>
    </row>
    <row r="50" spans="1:10" x14ac:dyDescent="0.25">
      <c r="A50" s="39" t="s">
        <v>69</v>
      </c>
      <c r="B50" s="26">
        <v>2</v>
      </c>
      <c r="C50" s="52">
        <f>((10*2)/10)*C1</f>
        <v>60</v>
      </c>
      <c r="D50" s="25">
        <f t="shared" si="0"/>
        <v>174</v>
      </c>
      <c r="E50" s="27">
        <f t="shared" si="1"/>
        <v>234</v>
      </c>
      <c r="F50" s="7"/>
      <c r="G50" s="18">
        <f t="shared" si="2"/>
        <v>105.34</v>
      </c>
      <c r="H50" s="37">
        <f t="shared" si="3"/>
        <v>339.34000000000003</v>
      </c>
      <c r="I50" s="23">
        <f t="shared" si="7"/>
        <v>492.04300000000001</v>
      </c>
      <c r="J50" s="23">
        <f t="shared" si="6"/>
        <v>506.80429000000004</v>
      </c>
    </row>
    <row r="51" spans="1:10" x14ac:dyDescent="0.25">
      <c r="A51" s="39" t="s">
        <v>70</v>
      </c>
      <c r="B51" s="24">
        <v>2</v>
      </c>
      <c r="C51" s="52">
        <f>((10*2)/10)*$C$1</f>
        <v>60</v>
      </c>
      <c r="D51" s="25">
        <f t="shared" si="0"/>
        <v>174</v>
      </c>
      <c r="E51" s="27">
        <f t="shared" si="1"/>
        <v>234</v>
      </c>
      <c r="F51" s="7"/>
      <c r="G51" s="18">
        <f t="shared" si="2"/>
        <v>105.34</v>
      </c>
      <c r="H51" s="37">
        <f t="shared" si="3"/>
        <v>339.34000000000003</v>
      </c>
      <c r="I51" s="23">
        <f t="shared" si="7"/>
        <v>492.04300000000001</v>
      </c>
      <c r="J51" s="23">
        <f t="shared" si="6"/>
        <v>506.80429000000004</v>
      </c>
    </row>
    <row r="52" spans="1:10" x14ac:dyDescent="0.25">
      <c r="A52" s="39" t="s">
        <v>85</v>
      </c>
      <c r="B52" s="24">
        <v>4</v>
      </c>
      <c r="C52" s="52">
        <f>((8*2)/10)*$C$1</f>
        <v>48</v>
      </c>
      <c r="D52" s="25">
        <f t="shared" si="0"/>
        <v>348</v>
      </c>
      <c r="E52" s="27">
        <f t="shared" si="1"/>
        <v>396</v>
      </c>
      <c r="F52" s="53"/>
      <c r="G52" s="18">
        <f>B52*$G$1</f>
        <v>210.68</v>
      </c>
      <c r="H52" s="37">
        <f t="shared" si="3"/>
        <v>606.68000000000006</v>
      </c>
      <c r="I52" s="23">
        <f t="shared" si="7"/>
        <v>879.68600000000004</v>
      </c>
      <c r="J52" s="23">
        <f t="shared" si="6"/>
        <v>906.07658000000004</v>
      </c>
    </row>
    <row r="53" spans="1:10" x14ac:dyDescent="0.25">
      <c r="A53" s="43"/>
      <c r="G53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5187-8638-44C6-9283-0DE57531C168}">
  <dimension ref="A1:V52"/>
  <sheetViews>
    <sheetView tabSelected="1" zoomScale="80" zoomScaleNormal="80" workbookViewId="0">
      <selection activeCell="V8" sqref="V8"/>
    </sheetView>
  </sheetViews>
  <sheetFormatPr baseColWidth="10" defaultRowHeight="15" x14ac:dyDescent="0.25"/>
  <cols>
    <col min="1" max="1" width="22.5703125" customWidth="1"/>
    <col min="2" max="3" width="15.7109375" customWidth="1"/>
    <col min="6" max="6" width="13.42578125" customWidth="1"/>
    <col min="7" max="7" width="13" customWidth="1"/>
    <col min="9" max="9" width="15.42578125" customWidth="1"/>
    <col min="10" max="10" width="20.28515625" bestFit="1" customWidth="1"/>
    <col min="11" max="11" width="15.28515625" customWidth="1"/>
    <col min="12" max="12" width="17.7109375" customWidth="1"/>
    <col min="13" max="13" width="13.5703125" customWidth="1"/>
    <col min="15" max="15" width="12.42578125" customWidth="1"/>
    <col min="16" max="16" width="14.28515625" customWidth="1"/>
    <col min="17" max="17" width="12.85546875" customWidth="1"/>
    <col min="18" max="18" width="14.28515625" customWidth="1"/>
    <col min="19" max="19" width="14.85546875" customWidth="1"/>
    <col min="20" max="21" width="15.85546875" customWidth="1"/>
    <col min="22" max="22" width="13.7109375" customWidth="1"/>
  </cols>
  <sheetData>
    <row r="1" spans="1:22" ht="27.75" customHeight="1" x14ac:dyDescent="0.25">
      <c r="B1" s="48">
        <v>650</v>
      </c>
      <c r="C1" s="48">
        <v>700</v>
      </c>
      <c r="D1" s="48">
        <v>450</v>
      </c>
      <c r="E1" s="48">
        <v>900</v>
      </c>
      <c r="F1" s="48">
        <v>350</v>
      </c>
      <c r="G1" s="48">
        <v>600</v>
      </c>
      <c r="H1" s="48">
        <v>1100</v>
      </c>
      <c r="I1" s="48">
        <v>150</v>
      </c>
      <c r="J1" s="49"/>
      <c r="K1" s="49"/>
      <c r="L1" s="49"/>
      <c r="M1" s="49"/>
      <c r="N1" s="49"/>
      <c r="O1" s="50">
        <v>52.67</v>
      </c>
      <c r="P1" s="51">
        <v>30</v>
      </c>
      <c r="Q1" s="51"/>
      <c r="R1" s="62">
        <v>161.85</v>
      </c>
    </row>
    <row r="2" spans="1:22" ht="34.5" customHeight="1" x14ac:dyDescent="0.25">
      <c r="A2" s="19" t="s">
        <v>0</v>
      </c>
      <c r="B2" s="34" t="s">
        <v>74</v>
      </c>
      <c r="C2" s="34" t="s">
        <v>89</v>
      </c>
      <c r="D2" s="34" t="s">
        <v>79</v>
      </c>
      <c r="E2" s="34" t="s">
        <v>80</v>
      </c>
      <c r="F2" s="34" t="s">
        <v>78</v>
      </c>
      <c r="G2" s="34" t="s">
        <v>77</v>
      </c>
      <c r="H2" s="34" t="s">
        <v>76</v>
      </c>
      <c r="I2" s="34" t="s">
        <v>75</v>
      </c>
      <c r="J2" s="34" t="s">
        <v>73</v>
      </c>
      <c r="K2" s="34" t="s">
        <v>42</v>
      </c>
      <c r="L2" s="34" t="s">
        <v>81</v>
      </c>
      <c r="M2" s="34" t="s">
        <v>82</v>
      </c>
      <c r="N2" s="34" t="s">
        <v>72</v>
      </c>
      <c r="O2" s="34" t="s">
        <v>83</v>
      </c>
      <c r="P2" s="34" t="s">
        <v>84</v>
      </c>
      <c r="Q2" s="34" t="s">
        <v>88</v>
      </c>
      <c r="R2" s="34" t="s">
        <v>47</v>
      </c>
      <c r="S2" s="34" t="s">
        <v>3</v>
      </c>
      <c r="T2" s="34" t="s">
        <v>86</v>
      </c>
      <c r="U2" s="34" t="s">
        <v>87</v>
      </c>
      <c r="V2" s="44" t="s">
        <v>92</v>
      </c>
    </row>
    <row r="3" spans="1:22" x14ac:dyDescent="0.25">
      <c r="A3" s="20" t="s">
        <v>2</v>
      </c>
      <c r="B3" s="55"/>
      <c r="C3" s="55"/>
      <c r="D3" s="54"/>
      <c r="E3" s="54"/>
      <c r="F3" s="54"/>
      <c r="G3" s="54"/>
      <c r="H3" s="54"/>
      <c r="I3" s="54"/>
      <c r="J3" s="54">
        <f>SUM(B3:I3)</f>
        <v>0</v>
      </c>
      <c r="K3" s="52">
        <f>SUM($D$1*D3)+($E$1*E3)+($F$1*F3)+($B$1*B3)+($C$1*C3)+($G$1*G3)+($H$1*H3)+($I$1*I3)</f>
        <v>0</v>
      </c>
      <c r="L3" s="7"/>
      <c r="M3" s="7">
        <f>SUM(L3)*1.3</f>
        <v>0</v>
      </c>
      <c r="N3" s="7"/>
      <c r="O3" s="52">
        <f>J3*$O$1</f>
        <v>0</v>
      </c>
      <c r="P3" s="52">
        <f>((100*2)/10)*P1</f>
        <v>600</v>
      </c>
      <c r="Q3" s="41"/>
      <c r="R3" s="52">
        <f>Q3*$R$1</f>
        <v>0</v>
      </c>
      <c r="S3" s="52">
        <f>K3+M3+LN3+SN3+O3+N3+P3+R3</f>
        <v>600</v>
      </c>
      <c r="T3" s="37">
        <f>S3*0.3</f>
        <v>180</v>
      </c>
      <c r="U3" s="52">
        <f>S3+T3</f>
        <v>780</v>
      </c>
      <c r="V3" s="45">
        <f>U3*0.05</f>
        <v>39</v>
      </c>
    </row>
    <row r="4" spans="1:22" x14ac:dyDescent="0.25">
      <c r="A4" s="21" t="s">
        <v>50</v>
      </c>
      <c r="B4" s="55"/>
      <c r="C4" s="55"/>
      <c r="D4" s="54"/>
      <c r="E4" s="54"/>
      <c r="F4" s="54"/>
      <c r="G4" s="54"/>
      <c r="H4" s="54"/>
      <c r="I4" s="54"/>
      <c r="J4" s="54">
        <f t="shared" ref="J4:J52" si="0">SUM(B4:I4)</f>
        <v>0</v>
      </c>
      <c r="K4" s="52">
        <f t="shared" ref="K4:K52" si="1">SUM($D$1*D4)+($E$1*E4)+($F$1*F4)+($B$1*B4)+($C$1*C4)+($G$1*G4)+($H$1*H4)+($I$1*I4)</f>
        <v>0</v>
      </c>
      <c r="L4" s="7"/>
      <c r="M4" s="7">
        <f t="shared" ref="M4:M52" si="2">SUM(L4)*1.3</f>
        <v>0</v>
      </c>
      <c r="N4" s="7"/>
      <c r="O4" s="52">
        <f t="shared" ref="O4:O52" si="3">J4*$O$1</f>
        <v>0</v>
      </c>
      <c r="P4" s="52">
        <f>((100*2)/10)*P1</f>
        <v>600</v>
      </c>
      <c r="Q4" s="52"/>
      <c r="R4" s="52">
        <f t="shared" ref="R4:R52" si="4">Q4*$R$1</f>
        <v>0</v>
      </c>
      <c r="S4" s="52">
        <f t="shared" ref="S4:S52" si="5">K4+M4+L4+N4+SN4+O4+P4+R4</f>
        <v>600</v>
      </c>
      <c r="T4" s="37">
        <f t="shared" ref="T4:T52" si="6">S4*0.3</f>
        <v>180</v>
      </c>
      <c r="U4" s="52">
        <f t="shared" ref="U4:U52" si="7">S4+T4</f>
        <v>780</v>
      </c>
    </row>
    <row r="5" spans="1:22" x14ac:dyDescent="0.25">
      <c r="A5" s="20" t="s">
        <v>7</v>
      </c>
      <c r="B5" s="55"/>
      <c r="C5" s="55"/>
      <c r="D5" s="54"/>
      <c r="E5" s="54"/>
      <c r="F5" s="54"/>
      <c r="G5" s="54"/>
      <c r="H5" s="54"/>
      <c r="I5" s="54"/>
      <c r="J5" s="54">
        <f t="shared" si="0"/>
        <v>0</v>
      </c>
      <c r="K5" s="52">
        <f t="shared" si="1"/>
        <v>0</v>
      </c>
      <c r="L5" s="7"/>
      <c r="M5" s="7">
        <f t="shared" si="2"/>
        <v>0</v>
      </c>
      <c r="N5" s="7"/>
      <c r="O5" s="52">
        <f t="shared" si="3"/>
        <v>0</v>
      </c>
      <c r="P5" s="52">
        <f>((100*2)/10)*P1</f>
        <v>600</v>
      </c>
      <c r="Q5" s="52"/>
      <c r="R5" s="52">
        <f t="shared" si="4"/>
        <v>0</v>
      </c>
      <c r="S5" s="52">
        <f t="shared" si="5"/>
        <v>600</v>
      </c>
      <c r="T5" s="37">
        <f t="shared" si="6"/>
        <v>180</v>
      </c>
      <c r="U5" s="52">
        <f t="shared" si="7"/>
        <v>780</v>
      </c>
    </row>
    <row r="6" spans="1:22" x14ac:dyDescent="0.25">
      <c r="A6" s="21" t="s">
        <v>8</v>
      </c>
      <c r="B6" s="55"/>
      <c r="C6" s="55"/>
      <c r="D6" s="54"/>
      <c r="E6" s="54"/>
      <c r="F6" s="54"/>
      <c r="G6" s="54"/>
      <c r="H6" s="54"/>
      <c r="I6" s="54"/>
      <c r="J6" s="54">
        <f t="shared" si="0"/>
        <v>0</v>
      </c>
      <c r="K6" s="52">
        <f t="shared" si="1"/>
        <v>0</v>
      </c>
      <c r="L6" s="7"/>
      <c r="M6" s="7">
        <f t="shared" si="2"/>
        <v>0</v>
      </c>
      <c r="N6" s="7"/>
      <c r="O6" s="52">
        <f t="shared" si="3"/>
        <v>0</v>
      </c>
      <c r="P6" s="52">
        <f>((10*2)/10)*P1</f>
        <v>60</v>
      </c>
      <c r="Q6" s="52"/>
      <c r="R6" s="52">
        <f t="shared" si="4"/>
        <v>0</v>
      </c>
      <c r="S6" s="52">
        <f t="shared" si="5"/>
        <v>60</v>
      </c>
      <c r="T6" s="37">
        <f t="shared" si="6"/>
        <v>18</v>
      </c>
      <c r="U6" s="52">
        <f t="shared" si="7"/>
        <v>78</v>
      </c>
    </row>
    <row r="7" spans="1:22" x14ac:dyDescent="0.25">
      <c r="A7" s="20" t="s">
        <v>9</v>
      </c>
      <c r="B7" s="55"/>
      <c r="C7" s="55"/>
      <c r="D7" s="54"/>
      <c r="E7" s="54"/>
      <c r="F7" s="54"/>
      <c r="G7" s="54"/>
      <c r="H7" s="54"/>
      <c r="I7" s="54"/>
      <c r="J7" s="54">
        <f t="shared" si="0"/>
        <v>0</v>
      </c>
      <c r="K7" s="52">
        <f t="shared" si="1"/>
        <v>0</v>
      </c>
      <c r="L7" s="7"/>
      <c r="M7" s="7">
        <f t="shared" si="2"/>
        <v>0</v>
      </c>
      <c r="N7" s="7"/>
      <c r="O7" s="52">
        <f t="shared" si="3"/>
        <v>0</v>
      </c>
      <c r="P7" s="52">
        <f>((45*2)/10)*P1</f>
        <v>270</v>
      </c>
      <c r="Q7" s="52"/>
      <c r="R7" s="52">
        <f t="shared" si="4"/>
        <v>0</v>
      </c>
      <c r="S7" s="52">
        <f t="shared" si="5"/>
        <v>270</v>
      </c>
      <c r="T7" s="37">
        <f t="shared" si="6"/>
        <v>81</v>
      </c>
      <c r="U7" s="52">
        <f t="shared" si="7"/>
        <v>351</v>
      </c>
    </row>
    <row r="8" spans="1:22" x14ac:dyDescent="0.25">
      <c r="A8" s="21" t="s">
        <v>10</v>
      </c>
      <c r="B8" s="55"/>
      <c r="C8" s="55"/>
      <c r="D8" s="54"/>
      <c r="E8" s="54"/>
      <c r="F8" s="54"/>
      <c r="G8" s="54"/>
      <c r="H8" s="54"/>
      <c r="I8" s="54"/>
      <c r="J8" s="54">
        <f t="shared" si="0"/>
        <v>0</v>
      </c>
      <c r="K8" s="52">
        <f t="shared" si="1"/>
        <v>0</v>
      </c>
      <c r="L8" s="7"/>
      <c r="M8" s="7">
        <f t="shared" si="2"/>
        <v>0</v>
      </c>
      <c r="N8" s="7"/>
      <c r="O8" s="52">
        <f t="shared" si="3"/>
        <v>0</v>
      </c>
      <c r="P8" s="52">
        <f>((40*2)/10)*P1</f>
        <v>240</v>
      </c>
      <c r="Q8" s="52"/>
      <c r="R8" s="52">
        <f t="shared" si="4"/>
        <v>0</v>
      </c>
      <c r="S8" s="52">
        <f t="shared" si="5"/>
        <v>240</v>
      </c>
      <c r="T8" s="37">
        <f t="shared" si="6"/>
        <v>72</v>
      </c>
      <c r="U8" s="52">
        <f t="shared" si="7"/>
        <v>312</v>
      </c>
    </row>
    <row r="9" spans="1:22" x14ac:dyDescent="0.25">
      <c r="A9" s="20" t="s">
        <v>11</v>
      </c>
      <c r="B9" s="55"/>
      <c r="C9" s="55"/>
      <c r="D9" s="54"/>
      <c r="E9" s="54"/>
      <c r="F9" s="54"/>
      <c r="G9" s="54"/>
      <c r="H9" s="54"/>
      <c r="I9" s="54"/>
      <c r="J9" s="54">
        <f t="shared" si="0"/>
        <v>0</v>
      </c>
      <c r="K9" s="52">
        <f t="shared" si="1"/>
        <v>0</v>
      </c>
      <c r="L9" s="7"/>
      <c r="M9" s="7">
        <f t="shared" si="2"/>
        <v>0</v>
      </c>
      <c r="N9" s="7"/>
      <c r="O9" s="52">
        <f t="shared" si="3"/>
        <v>0</v>
      </c>
      <c r="P9" s="52">
        <f>((45*2)/10)*P1</f>
        <v>270</v>
      </c>
      <c r="Q9" s="52"/>
      <c r="R9" s="52">
        <f t="shared" si="4"/>
        <v>0</v>
      </c>
      <c r="S9" s="52">
        <f t="shared" si="5"/>
        <v>270</v>
      </c>
      <c r="T9" s="37">
        <f t="shared" si="6"/>
        <v>81</v>
      </c>
      <c r="U9" s="52">
        <f t="shared" si="7"/>
        <v>351</v>
      </c>
    </row>
    <row r="10" spans="1:22" x14ac:dyDescent="0.25">
      <c r="A10" s="21" t="s">
        <v>12</v>
      </c>
      <c r="B10" s="55"/>
      <c r="C10" s="55"/>
      <c r="D10" s="54"/>
      <c r="E10" s="54"/>
      <c r="F10" s="54"/>
      <c r="G10" s="54"/>
      <c r="H10" s="54"/>
      <c r="I10" s="54"/>
      <c r="J10" s="54">
        <f t="shared" si="0"/>
        <v>0</v>
      </c>
      <c r="K10" s="52">
        <f t="shared" si="1"/>
        <v>0</v>
      </c>
      <c r="L10" s="7"/>
      <c r="M10" s="7">
        <f t="shared" si="2"/>
        <v>0</v>
      </c>
      <c r="N10" s="7"/>
      <c r="O10" s="52">
        <f t="shared" si="3"/>
        <v>0</v>
      </c>
      <c r="P10" s="52">
        <f>((16*2)/10)*P8</f>
        <v>768</v>
      </c>
      <c r="Q10" s="52"/>
      <c r="R10" s="52">
        <f t="shared" si="4"/>
        <v>0</v>
      </c>
      <c r="S10" s="52">
        <f t="shared" si="5"/>
        <v>768</v>
      </c>
      <c r="T10" s="37">
        <f t="shared" si="6"/>
        <v>230.39999999999998</v>
      </c>
      <c r="U10" s="52">
        <f t="shared" si="7"/>
        <v>998.4</v>
      </c>
    </row>
    <row r="11" spans="1:22" x14ac:dyDescent="0.25">
      <c r="A11" s="21" t="s">
        <v>49</v>
      </c>
      <c r="B11" s="55"/>
      <c r="C11" s="55"/>
      <c r="D11" s="54"/>
      <c r="E11" s="54"/>
      <c r="F11" s="54"/>
      <c r="G11" s="54"/>
      <c r="H11" s="54"/>
      <c r="I11" s="54"/>
      <c r="J11" s="54">
        <f t="shared" si="0"/>
        <v>0</v>
      </c>
      <c r="K11" s="52">
        <f t="shared" si="1"/>
        <v>0</v>
      </c>
      <c r="L11" s="7"/>
      <c r="M11" s="7">
        <f t="shared" si="2"/>
        <v>0</v>
      </c>
      <c r="N11" s="7"/>
      <c r="O11" s="52">
        <f t="shared" si="3"/>
        <v>0</v>
      </c>
      <c r="P11" s="52">
        <f>((200*2)/10)*P1</f>
        <v>1200</v>
      </c>
      <c r="Q11" s="52"/>
      <c r="R11" s="52">
        <f t="shared" si="4"/>
        <v>0</v>
      </c>
      <c r="S11" s="52">
        <f t="shared" si="5"/>
        <v>1200</v>
      </c>
      <c r="T11" s="37">
        <f t="shared" si="6"/>
        <v>360</v>
      </c>
      <c r="U11" s="52">
        <f t="shared" si="7"/>
        <v>1560</v>
      </c>
    </row>
    <row r="12" spans="1:22" x14ac:dyDescent="0.25">
      <c r="A12" s="20" t="s">
        <v>14</v>
      </c>
      <c r="B12" s="55"/>
      <c r="C12" s="55"/>
      <c r="D12" s="54"/>
      <c r="E12" s="54"/>
      <c r="F12" s="54"/>
      <c r="G12" s="54"/>
      <c r="H12" s="54"/>
      <c r="I12" s="54"/>
      <c r="J12" s="54">
        <f t="shared" si="0"/>
        <v>0</v>
      </c>
      <c r="K12" s="52">
        <f t="shared" si="1"/>
        <v>0</v>
      </c>
      <c r="L12" s="7"/>
      <c r="M12" s="7">
        <f t="shared" si="2"/>
        <v>0</v>
      </c>
      <c r="N12" s="7"/>
      <c r="O12" s="52">
        <f t="shared" si="3"/>
        <v>0</v>
      </c>
      <c r="P12" s="52">
        <f>((200*2)/10)*P1</f>
        <v>1200</v>
      </c>
      <c r="Q12" s="52"/>
      <c r="R12" s="52">
        <f t="shared" si="4"/>
        <v>0</v>
      </c>
      <c r="S12" s="52">
        <f t="shared" si="5"/>
        <v>1200</v>
      </c>
      <c r="T12" s="37">
        <f t="shared" si="6"/>
        <v>360</v>
      </c>
      <c r="U12" s="52">
        <f t="shared" si="7"/>
        <v>1560</v>
      </c>
    </row>
    <row r="13" spans="1:22" x14ac:dyDescent="0.25">
      <c r="A13" s="21" t="s">
        <v>15</v>
      </c>
      <c r="B13" s="55"/>
      <c r="C13" s="55"/>
      <c r="D13" s="54"/>
      <c r="E13" s="54"/>
      <c r="F13" s="54"/>
      <c r="G13" s="54"/>
      <c r="H13" s="54"/>
      <c r="I13" s="54"/>
      <c r="J13" s="54">
        <f t="shared" si="0"/>
        <v>0</v>
      </c>
      <c r="K13" s="52">
        <f t="shared" si="1"/>
        <v>0</v>
      </c>
      <c r="L13" s="7"/>
      <c r="M13" s="7">
        <f t="shared" si="2"/>
        <v>0</v>
      </c>
      <c r="N13" s="7"/>
      <c r="O13" s="52">
        <f t="shared" si="3"/>
        <v>0</v>
      </c>
      <c r="P13" s="52">
        <f>((45*2)/10)*P1</f>
        <v>270</v>
      </c>
      <c r="Q13" s="52"/>
      <c r="R13" s="52">
        <f t="shared" si="4"/>
        <v>0</v>
      </c>
      <c r="S13" s="52">
        <f t="shared" si="5"/>
        <v>270</v>
      </c>
      <c r="T13" s="37">
        <f t="shared" si="6"/>
        <v>81</v>
      </c>
      <c r="U13" s="52">
        <f t="shared" si="7"/>
        <v>351</v>
      </c>
    </row>
    <row r="14" spans="1:22" x14ac:dyDescent="0.25">
      <c r="A14" s="20" t="s">
        <v>16</v>
      </c>
      <c r="B14" s="55"/>
      <c r="C14" s="55"/>
      <c r="D14" s="54"/>
      <c r="E14" s="54"/>
      <c r="F14" s="54"/>
      <c r="G14" s="54"/>
      <c r="H14" s="54"/>
      <c r="I14" s="54"/>
      <c r="J14" s="54">
        <f t="shared" si="0"/>
        <v>0</v>
      </c>
      <c r="K14" s="52">
        <f t="shared" si="1"/>
        <v>0</v>
      </c>
      <c r="L14" s="7"/>
      <c r="M14" s="7">
        <f t="shared" si="2"/>
        <v>0</v>
      </c>
      <c r="N14" s="7"/>
      <c r="O14" s="52">
        <f t="shared" si="3"/>
        <v>0</v>
      </c>
      <c r="P14" s="52">
        <f>((11*2)/10)*P1</f>
        <v>66</v>
      </c>
      <c r="Q14" s="52"/>
      <c r="R14" s="52">
        <f t="shared" si="4"/>
        <v>0</v>
      </c>
      <c r="S14" s="52">
        <f t="shared" si="5"/>
        <v>66</v>
      </c>
      <c r="T14" s="37">
        <f t="shared" si="6"/>
        <v>19.8</v>
      </c>
      <c r="U14" s="52">
        <f t="shared" si="7"/>
        <v>85.8</v>
      </c>
    </row>
    <row r="15" spans="1:22" x14ac:dyDescent="0.25">
      <c r="A15" s="21" t="s">
        <v>17</v>
      </c>
      <c r="B15" s="55"/>
      <c r="C15" s="55"/>
      <c r="D15" s="54"/>
      <c r="E15" s="54"/>
      <c r="F15" s="54"/>
      <c r="G15" s="54"/>
      <c r="H15" s="54"/>
      <c r="I15" s="54"/>
      <c r="J15" s="54">
        <f t="shared" si="0"/>
        <v>0</v>
      </c>
      <c r="K15" s="52">
        <f t="shared" si="1"/>
        <v>0</v>
      </c>
      <c r="L15" s="7"/>
      <c r="M15" s="7">
        <f t="shared" si="2"/>
        <v>0</v>
      </c>
      <c r="N15" s="7"/>
      <c r="O15" s="52">
        <f t="shared" si="3"/>
        <v>0</v>
      </c>
      <c r="P15" s="52">
        <f>((200*2)/10)*P1</f>
        <v>1200</v>
      </c>
      <c r="Q15" s="52"/>
      <c r="R15" s="52">
        <f t="shared" si="4"/>
        <v>0</v>
      </c>
      <c r="S15" s="52">
        <f t="shared" si="5"/>
        <v>1200</v>
      </c>
      <c r="T15" s="37">
        <f t="shared" si="6"/>
        <v>360</v>
      </c>
      <c r="U15" s="52">
        <f t="shared" si="7"/>
        <v>1560</v>
      </c>
    </row>
    <row r="16" spans="1:22" x14ac:dyDescent="0.25">
      <c r="A16" s="20" t="s">
        <v>18</v>
      </c>
      <c r="B16" s="55"/>
      <c r="C16" s="55"/>
      <c r="D16" s="54"/>
      <c r="E16" s="54"/>
      <c r="F16" s="54"/>
      <c r="G16" s="54"/>
      <c r="H16" s="54"/>
      <c r="I16" s="54"/>
      <c r="J16" s="54">
        <f t="shared" si="0"/>
        <v>0</v>
      </c>
      <c r="K16" s="52">
        <f t="shared" si="1"/>
        <v>0</v>
      </c>
      <c r="L16" s="7"/>
      <c r="M16" s="7">
        <f t="shared" si="2"/>
        <v>0</v>
      </c>
      <c r="N16" s="7"/>
      <c r="O16" s="52">
        <f t="shared" si="3"/>
        <v>0</v>
      </c>
      <c r="P16" s="52">
        <f>((35*2)/10)*P1</f>
        <v>210</v>
      </c>
      <c r="Q16" s="52"/>
      <c r="R16" s="52">
        <f t="shared" si="4"/>
        <v>0</v>
      </c>
      <c r="S16" s="52">
        <f t="shared" si="5"/>
        <v>210</v>
      </c>
      <c r="T16" s="37">
        <f t="shared" si="6"/>
        <v>63</v>
      </c>
      <c r="U16" s="52">
        <f t="shared" si="7"/>
        <v>273</v>
      </c>
    </row>
    <row r="17" spans="1:21" x14ac:dyDescent="0.25">
      <c r="A17" s="21" t="s">
        <v>19</v>
      </c>
      <c r="B17" s="55"/>
      <c r="C17" s="55"/>
      <c r="D17" s="54"/>
      <c r="E17" s="54"/>
      <c r="F17" s="54"/>
      <c r="G17" s="54"/>
      <c r="H17" s="54"/>
      <c r="I17" s="54"/>
      <c r="J17" s="54">
        <f t="shared" si="0"/>
        <v>0</v>
      </c>
      <c r="K17" s="52">
        <f t="shared" si="1"/>
        <v>0</v>
      </c>
      <c r="L17" s="7"/>
      <c r="M17" s="7">
        <f t="shared" si="2"/>
        <v>0</v>
      </c>
      <c r="N17" s="7"/>
      <c r="O17" s="52">
        <f t="shared" si="3"/>
        <v>0</v>
      </c>
      <c r="P17" s="52">
        <f>((35*2)/10)*P1</f>
        <v>210</v>
      </c>
      <c r="Q17" s="52"/>
      <c r="R17" s="52">
        <f t="shared" si="4"/>
        <v>0</v>
      </c>
      <c r="S17" s="52">
        <f t="shared" si="5"/>
        <v>210</v>
      </c>
      <c r="T17" s="37">
        <f t="shared" si="6"/>
        <v>63</v>
      </c>
      <c r="U17" s="52">
        <f t="shared" si="7"/>
        <v>273</v>
      </c>
    </row>
    <row r="18" spans="1:21" x14ac:dyDescent="0.25">
      <c r="A18" s="20" t="s">
        <v>20</v>
      </c>
      <c r="B18" s="55"/>
      <c r="C18" s="55"/>
      <c r="D18" s="54"/>
      <c r="E18" s="54"/>
      <c r="F18" s="54"/>
      <c r="G18" s="54"/>
      <c r="H18" s="54"/>
      <c r="I18" s="54"/>
      <c r="J18" s="54">
        <f t="shared" si="0"/>
        <v>0</v>
      </c>
      <c r="K18" s="52">
        <f t="shared" si="1"/>
        <v>0</v>
      </c>
      <c r="L18" s="7"/>
      <c r="M18" s="7">
        <f t="shared" si="2"/>
        <v>0</v>
      </c>
      <c r="N18" s="7"/>
      <c r="O18" s="52">
        <f t="shared" si="3"/>
        <v>0</v>
      </c>
      <c r="P18" s="52">
        <f>((37*2)/10)*P1</f>
        <v>222</v>
      </c>
      <c r="Q18" s="52"/>
      <c r="R18" s="52">
        <f t="shared" si="4"/>
        <v>0</v>
      </c>
      <c r="S18" s="52">
        <f t="shared" si="5"/>
        <v>222</v>
      </c>
      <c r="T18" s="37">
        <f t="shared" si="6"/>
        <v>66.599999999999994</v>
      </c>
      <c r="U18" s="52">
        <f t="shared" si="7"/>
        <v>288.60000000000002</v>
      </c>
    </row>
    <row r="19" spans="1:21" x14ac:dyDescent="0.25">
      <c r="A19" s="21" t="s">
        <v>21</v>
      </c>
      <c r="B19" s="55"/>
      <c r="C19" s="55"/>
      <c r="D19" s="54"/>
      <c r="E19" s="54"/>
      <c r="F19" s="54"/>
      <c r="G19" s="54"/>
      <c r="H19" s="54"/>
      <c r="I19" s="54"/>
      <c r="J19" s="54">
        <f t="shared" si="0"/>
        <v>0</v>
      </c>
      <c r="K19" s="52">
        <f t="shared" si="1"/>
        <v>0</v>
      </c>
      <c r="L19" s="7"/>
      <c r="M19" s="7">
        <f t="shared" si="2"/>
        <v>0</v>
      </c>
      <c r="N19" s="7"/>
      <c r="O19" s="52">
        <f t="shared" si="3"/>
        <v>0</v>
      </c>
      <c r="P19" s="52">
        <f>((9*2)/10)*P1</f>
        <v>54</v>
      </c>
      <c r="Q19" s="52"/>
      <c r="R19" s="52">
        <f t="shared" si="4"/>
        <v>0</v>
      </c>
      <c r="S19" s="52">
        <f t="shared" si="5"/>
        <v>54</v>
      </c>
      <c r="T19" s="37">
        <f t="shared" si="6"/>
        <v>16.2</v>
      </c>
      <c r="U19" s="52">
        <f t="shared" si="7"/>
        <v>70.2</v>
      </c>
    </row>
    <row r="20" spans="1:21" x14ac:dyDescent="0.25">
      <c r="A20" s="20" t="s">
        <v>22</v>
      </c>
      <c r="B20" s="55"/>
      <c r="C20" s="55"/>
      <c r="D20" s="54"/>
      <c r="E20" s="54"/>
      <c r="F20" s="54"/>
      <c r="G20" s="54"/>
      <c r="H20" s="54"/>
      <c r="I20" s="54"/>
      <c r="J20" s="54">
        <f t="shared" si="0"/>
        <v>0</v>
      </c>
      <c r="K20" s="52">
        <f t="shared" si="1"/>
        <v>0</v>
      </c>
      <c r="L20" s="7"/>
      <c r="M20" s="7">
        <f t="shared" si="2"/>
        <v>0</v>
      </c>
      <c r="N20" s="7"/>
      <c r="O20" s="52">
        <f t="shared" si="3"/>
        <v>0</v>
      </c>
      <c r="P20" s="52">
        <f>((6*2)/10)*P1</f>
        <v>36</v>
      </c>
      <c r="Q20" s="52"/>
      <c r="R20" s="52">
        <f t="shared" si="4"/>
        <v>0</v>
      </c>
      <c r="S20" s="52">
        <f t="shared" si="5"/>
        <v>36</v>
      </c>
      <c r="T20" s="37">
        <f t="shared" si="6"/>
        <v>10.799999999999999</v>
      </c>
      <c r="U20" s="52">
        <f t="shared" si="7"/>
        <v>46.8</v>
      </c>
    </row>
    <row r="21" spans="1:21" x14ac:dyDescent="0.25">
      <c r="A21" s="21" t="s">
        <v>23</v>
      </c>
      <c r="B21" s="55"/>
      <c r="C21" s="55"/>
      <c r="D21" s="54"/>
      <c r="E21" s="54"/>
      <c r="F21" s="54"/>
      <c r="G21" s="54"/>
      <c r="H21" s="54"/>
      <c r="I21" s="54"/>
      <c r="J21" s="54">
        <f t="shared" si="0"/>
        <v>0</v>
      </c>
      <c r="K21" s="52">
        <f t="shared" si="1"/>
        <v>0</v>
      </c>
      <c r="L21" s="7"/>
      <c r="M21" s="7">
        <f t="shared" si="2"/>
        <v>0</v>
      </c>
      <c r="N21" s="7"/>
      <c r="O21" s="52">
        <f t="shared" si="3"/>
        <v>0</v>
      </c>
      <c r="P21" s="52">
        <f>((36*2)/10)*P1</f>
        <v>216</v>
      </c>
      <c r="Q21" s="52"/>
      <c r="R21" s="52">
        <f t="shared" si="4"/>
        <v>0</v>
      </c>
      <c r="S21" s="52">
        <f t="shared" si="5"/>
        <v>216</v>
      </c>
      <c r="T21" s="37">
        <f t="shared" si="6"/>
        <v>64.8</v>
      </c>
      <c r="U21" s="52">
        <f t="shared" si="7"/>
        <v>280.8</v>
      </c>
    </row>
    <row r="22" spans="1:21" x14ac:dyDescent="0.25">
      <c r="A22" s="20" t="s">
        <v>24</v>
      </c>
      <c r="B22" s="55"/>
      <c r="C22" s="55"/>
      <c r="D22" s="54"/>
      <c r="E22" s="54"/>
      <c r="F22" s="54"/>
      <c r="G22" s="54"/>
      <c r="H22" s="54"/>
      <c r="I22" s="54"/>
      <c r="J22" s="54">
        <f t="shared" si="0"/>
        <v>0</v>
      </c>
      <c r="K22" s="52">
        <f t="shared" si="1"/>
        <v>0</v>
      </c>
      <c r="L22" s="7"/>
      <c r="M22" s="7">
        <f t="shared" si="2"/>
        <v>0</v>
      </c>
      <c r="N22" s="7"/>
      <c r="O22" s="52">
        <f t="shared" si="3"/>
        <v>0</v>
      </c>
      <c r="P22" s="52">
        <f>((70*2)/10)*P1</f>
        <v>420</v>
      </c>
      <c r="Q22" s="52"/>
      <c r="R22" s="52">
        <f t="shared" si="4"/>
        <v>0</v>
      </c>
      <c r="S22" s="52">
        <f t="shared" si="5"/>
        <v>420</v>
      </c>
      <c r="T22" s="37">
        <f t="shared" si="6"/>
        <v>126</v>
      </c>
      <c r="U22" s="52">
        <f t="shared" si="7"/>
        <v>546</v>
      </c>
    </row>
    <row r="23" spans="1:21" x14ac:dyDescent="0.25">
      <c r="A23" s="21" t="s">
        <v>25</v>
      </c>
      <c r="B23" s="55"/>
      <c r="C23" s="55"/>
      <c r="D23" s="54"/>
      <c r="E23" s="54"/>
      <c r="F23" s="54"/>
      <c r="G23" s="54"/>
      <c r="H23" s="54"/>
      <c r="I23" s="54"/>
      <c r="J23" s="54">
        <f t="shared" si="0"/>
        <v>0</v>
      </c>
      <c r="K23" s="52">
        <f t="shared" si="1"/>
        <v>0</v>
      </c>
      <c r="L23" s="7"/>
      <c r="M23" s="7">
        <f t="shared" si="2"/>
        <v>0</v>
      </c>
      <c r="N23" s="7"/>
      <c r="O23" s="52">
        <f t="shared" si="3"/>
        <v>0</v>
      </c>
      <c r="P23" s="52">
        <f>((27*2)/10)*P1</f>
        <v>162</v>
      </c>
      <c r="Q23" s="52"/>
      <c r="R23" s="52">
        <f t="shared" si="4"/>
        <v>0</v>
      </c>
      <c r="S23" s="52">
        <f t="shared" si="5"/>
        <v>162</v>
      </c>
      <c r="T23" s="37">
        <f t="shared" si="6"/>
        <v>48.6</v>
      </c>
      <c r="U23" s="52">
        <f t="shared" si="7"/>
        <v>210.6</v>
      </c>
    </row>
    <row r="24" spans="1:21" x14ac:dyDescent="0.25">
      <c r="A24" s="20" t="s">
        <v>26</v>
      </c>
      <c r="B24" s="55"/>
      <c r="C24" s="55"/>
      <c r="D24" s="54"/>
      <c r="E24" s="54"/>
      <c r="F24" s="54"/>
      <c r="G24" s="54"/>
      <c r="H24" s="54"/>
      <c r="I24" s="54"/>
      <c r="J24" s="54">
        <f t="shared" si="0"/>
        <v>0</v>
      </c>
      <c r="K24" s="52">
        <f t="shared" si="1"/>
        <v>0</v>
      </c>
      <c r="L24" s="7"/>
      <c r="M24" s="7">
        <f t="shared" si="2"/>
        <v>0</v>
      </c>
      <c r="N24" s="7"/>
      <c r="O24" s="52">
        <f t="shared" si="3"/>
        <v>0</v>
      </c>
      <c r="P24" s="52">
        <f>((76*2)/10)*P1</f>
        <v>456</v>
      </c>
      <c r="Q24" s="52"/>
      <c r="R24" s="52">
        <f t="shared" si="4"/>
        <v>0</v>
      </c>
      <c r="S24" s="52">
        <f t="shared" si="5"/>
        <v>456</v>
      </c>
      <c r="T24" s="37">
        <f t="shared" si="6"/>
        <v>136.79999999999998</v>
      </c>
      <c r="U24" s="52">
        <f t="shared" si="7"/>
        <v>592.79999999999995</v>
      </c>
    </row>
    <row r="25" spans="1:21" x14ac:dyDescent="0.25">
      <c r="A25" s="21" t="s">
        <v>27</v>
      </c>
      <c r="B25" s="55"/>
      <c r="C25" s="55"/>
      <c r="D25" s="54"/>
      <c r="E25" s="54"/>
      <c r="F25" s="54"/>
      <c r="G25" s="54"/>
      <c r="H25" s="54"/>
      <c r="I25" s="54"/>
      <c r="J25" s="54">
        <f t="shared" si="0"/>
        <v>0</v>
      </c>
      <c r="K25" s="52">
        <f t="shared" si="1"/>
        <v>0</v>
      </c>
      <c r="L25" s="7"/>
      <c r="M25" s="7">
        <f t="shared" si="2"/>
        <v>0</v>
      </c>
      <c r="N25" s="7"/>
      <c r="O25" s="52">
        <f t="shared" si="3"/>
        <v>0</v>
      </c>
      <c r="P25" s="52">
        <f>((70*2)/10)*P1</f>
        <v>420</v>
      </c>
      <c r="Q25" s="52"/>
      <c r="R25" s="52">
        <f t="shared" si="4"/>
        <v>0</v>
      </c>
      <c r="S25" s="52">
        <f t="shared" si="5"/>
        <v>420</v>
      </c>
      <c r="T25" s="37">
        <f t="shared" si="6"/>
        <v>126</v>
      </c>
      <c r="U25" s="52">
        <f t="shared" si="7"/>
        <v>546</v>
      </c>
    </row>
    <row r="26" spans="1:21" x14ac:dyDescent="0.25">
      <c r="A26" s="20" t="s">
        <v>28</v>
      </c>
      <c r="B26" s="55"/>
      <c r="C26" s="55"/>
      <c r="D26" s="54"/>
      <c r="E26" s="54"/>
      <c r="F26" s="54"/>
      <c r="G26" s="54"/>
      <c r="H26" s="54"/>
      <c r="I26" s="54"/>
      <c r="J26" s="54">
        <f t="shared" si="0"/>
        <v>0</v>
      </c>
      <c r="K26" s="52">
        <f t="shared" si="1"/>
        <v>0</v>
      </c>
      <c r="L26" s="7"/>
      <c r="M26" s="7">
        <f t="shared" si="2"/>
        <v>0</v>
      </c>
      <c r="N26" s="7"/>
      <c r="O26" s="52">
        <f t="shared" si="3"/>
        <v>0</v>
      </c>
      <c r="P26" s="52">
        <f>((36*2)/10)*P1</f>
        <v>216</v>
      </c>
      <c r="Q26" s="52"/>
      <c r="R26" s="52">
        <f t="shared" si="4"/>
        <v>0</v>
      </c>
      <c r="S26" s="52">
        <f t="shared" si="5"/>
        <v>216</v>
      </c>
      <c r="T26" s="37">
        <f t="shared" si="6"/>
        <v>64.8</v>
      </c>
      <c r="U26" s="52">
        <f t="shared" si="7"/>
        <v>280.8</v>
      </c>
    </row>
    <row r="27" spans="1:21" x14ac:dyDescent="0.25">
      <c r="A27" s="21" t="s">
        <v>29</v>
      </c>
      <c r="B27" s="55"/>
      <c r="C27" s="55"/>
      <c r="D27" s="54"/>
      <c r="E27" s="54"/>
      <c r="F27" s="54"/>
      <c r="G27" s="54"/>
      <c r="H27" s="54"/>
      <c r="I27" s="54"/>
      <c r="J27" s="54">
        <f t="shared" si="0"/>
        <v>0</v>
      </c>
      <c r="K27" s="52">
        <f t="shared" si="1"/>
        <v>0</v>
      </c>
      <c r="L27" s="7"/>
      <c r="M27" s="7">
        <f t="shared" si="2"/>
        <v>0</v>
      </c>
      <c r="N27" s="7"/>
      <c r="O27" s="52">
        <f t="shared" si="3"/>
        <v>0</v>
      </c>
      <c r="P27" s="52">
        <f>((3*2)/10)*P1</f>
        <v>18</v>
      </c>
      <c r="Q27" s="52"/>
      <c r="R27" s="52">
        <f t="shared" si="4"/>
        <v>0</v>
      </c>
      <c r="S27" s="52">
        <f t="shared" si="5"/>
        <v>18</v>
      </c>
      <c r="T27" s="37">
        <f t="shared" si="6"/>
        <v>5.3999999999999995</v>
      </c>
      <c r="U27" s="52">
        <f t="shared" si="7"/>
        <v>23.4</v>
      </c>
    </row>
    <row r="28" spans="1:21" x14ac:dyDescent="0.25">
      <c r="A28" s="20" t="s">
        <v>30</v>
      </c>
      <c r="B28" s="55"/>
      <c r="C28" s="55"/>
      <c r="D28" s="54"/>
      <c r="E28" s="54"/>
      <c r="F28" s="54"/>
      <c r="G28" s="54"/>
      <c r="H28" s="54"/>
      <c r="I28" s="54"/>
      <c r="J28" s="54">
        <f t="shared" si="0"/>
        <v>0</v>
      </c>
      <c r="K28" s="52">
        <f t="shared" si="1"/>
        <v>0</v>
      </c>
      <c r="L28" s="53"/>
      <c r="M28" s="7">
        <f t="shared" si="2"/>
        <v>0</v>
      </c>
      <c r="N28" s="7"/>
      <c r="O28" s="52">
        <f t="shared" si="3"/>
        <v>0</v>
      </c>
      <c r="P28" s="52">
        <f>((16*2)/10)*P1</f>
        <v>96</v>
      </c>
      <c r="Q28" s="52"/>
      <c r="R28" s="52">
        <f t="shared" si="4"/>
        <v>0</v>
      </c>
      <c r="S28" s="52">
        <f t="shared" si="5"/>
        <v>96</v>
      </c>
      <c r="T28" s="37">
        <f t="shared" si="6"/>
        <v>28.799999999999997</v>
      </c>
      <c r="U28" s="52">
        <f t="shared" si="7"/>
        <v>124.8</v>
      </c>
    </row>
    <row r="29" spans="1:21" x14ac:dyDescent="0.25">
      <c r="A29" s="21" t="s">
        <v>31</v>
      </c>
      <c r="B29" s="55"/>
      <c r="C29" s="55"/>
      <c r="D29" s="54"/>
      <c r="E29" s="54"/>
      <c r="F29" s="54"/>
      <c r="G29" s="54"/>
      <c r="H29" s="54"/>
      <c r="I29" s="54"/>
      <c r="J29" s="54">
        <f t="shared" si="0"/>
        <v>0</v>
      </c>
      <c r="K29" s="52">
        <f t="shared" si="1"/>
        <v>0</v>
      </c>
      <c r="L29" s="53"/>
      <c r="M29" s="7">
        <f t="shared" si="2"/>
        <v>0</v>
      </c>
      <c r="N29" s="7"/>
      <c r="O29" s="52">
        <f t="shared" si="3"/>
        <v>0</v>
      </c>
      <c r="P29" s="52">
        <f>((32*2)/10)*P1</f>
        <v>192</v>
      </c>
      <c r="Q29" s="52"/>
      <c r="R29" s="52">
        <f t="shared" si="4"/>
        <v>0</v>
      </c>
      <c r="S29" s="52">
        <f t="shared" si="5"/>
        <v>192</v>
      </c>
      <c r="T29" s="37">
        <f t="shared" si="6"/>
        <v>57.599999999999994</v>
      </c>
      <c r="U29" s="52">
        <f t="shared" si="7"/>
        <v>249.6</v>
      </c>
    </row>
    <row r="30" spans="1:21" x14ac:dyDescent="0.25">
      <c r="A30" s="22" t="s">
        <v>38</v>
      </c>
      <c r="B30" s="55"/>
      <c r="C30" s="55"/>
      <c r="D30" s="54"/>
      <c r="E30" s="54"/>
      <c r="F30" s="54"/>
      <c r="G30" s="54"/>
      <c r="H30" s="54"/>
      <c r="I30" s="54"/>
      <c r="J30" s="54">
        <f t="shared" si="0"/>
        <v>0</v>
      </c>
      <c r="K30" s="52">
        <f t="shared" si="1"/>
        <v>0</v>
      </c>
      <c r="L30" s="53"/>
      <c r="M30" s="7">
        <f t="shared" si="2"/>
        <v>0</v>
      </c>
      <c r="N30" s="7"/>
      <c r="O30" s="52">
        <f t="shared" si="3"/>
        <v>0</v>
      </c>
      <c r="P30" s="52">
        <f>((8*2)/10)*P1</f>
        <v>48</v>
      </c>
      <c r="Q30" s="52"/>
      <c r="R30" s="52">
        <f t="shared" si="4"/>
        <v>0</v>
      </c>
      <c r="S30" s="52">
        <f t="shared" si="5"/>
        <v>48</v>
      </c>
      <c r="T30" s="37">
        <f t="shared" si="6"/>
        <v>14.399999999999999</v>
      </c>
      <c r="U30" s="52">
        <f t="shared" si="7"/>
        <v>62.4</v>
      </c>
    </row>
    <row r="31" spans="1:21" x14ac:dyDescent="0.25">
      <c r="A31" s="21" t="s">
        <v>32</v>
      </c>
      <c r="B31" s="55"/>
      <c r="C31" s="55"/>
      <c r="D31" s="54"/>
      <c r="E31" s="54"/>
      <c r="F31" s="54"/>
      <c r="G31" s="54"/>
      <c r="H31" s="54"/>
      <c r="I31" s="54"/>
      <c r="J31" s="54">
        <f t="shared" si="0"/>
        <v>0</v>
      </c>
      <c r="K31" s="52">
        <f t="shared" si="1"/>
        <v>0</v>
      </c>
      <c r="L31" s="53"/>
      <c r="M31" s="7">
        <f t="shared" si="2"/>
        <v>0</v>
      </c>
      <c r="N31" s="7"/>
      <c r="O31" s="52">
        <f t="shared" si="3"/>
        <v>0</v>
      </c>
      <c r="P31" s="52">
        <f>((200*2)/10)*P1</f>
        <v>1200</v>
      </c>
      <c r="Q31" s="52"/>
      <c r="R31" s="52">
        <f t="shared" si="4"/>
        <v>0</v>
      </c>
      <c r="S31" s="52">
        <f t="shared" si="5"/>
        <v>1200</v>
      </c>
      <c r="T31" s="37">
        <f t="shared" si="6"/>
        <v>360</v>
      </c>
      <c r="U31" s="52">
        <f t="shared" si="7"/>
        <v>1560</v>
      </c>
    </row>
    <row r="32" spans="1:21" x14ac:dyDescent="0.25">
      <c r="A32" s="20" t="s">
        <v>33</v>
      </c>
      <c r="B32" s="55"/>
      <c r="C32" s="55"/>
      <c r="D32" s="54"/>
      <c r="E32" s="54"/>
      <c r="F32" s="54"/>
      <c r="G32" s="54"/>
      <c r="H32" s="54"/>
      <c r="I32" s="54"/>
      <c r="J32" s="54">
        <f t="shared" si="0"/>
        <v>0</v>
      </c>
      <c r="K32" s="52">
        <f t="shared" si="1"/>
        <v>0</v>
      </c>
      <c r="L32" s="53"/>
      <c r="M32" s="7">
        <f t="shared" si="2"/>
        <v>0</v>
      </c>
      <c r="N32" s="7"/>
      <c r="O32" s="52">
        <f t="shared" si="3"/>
        <v>0</v>
      </c>
      <c r="P32" s="52">
        <f>((13*2)/10)*P1</f>
        <v>78</v>
      </c>
      <c r="Q32" s="52"/>
      <c r="R32" s="52">
        <f t="shared" si="4"/>
        <v>0</v>
      </c>
      <c r="S32" s="52">
        <f t="shared" si="5"/>
        <v>78</v>
      </c>
      <c r="T32" s="37">
        <f t="shared" si="6"/>
        <v>23.4</v>
      </c>
      <c r="U32" s="52">
        <f t="shared" si="7"/>
        <v>101.4</v>
      </c>
    </row>
    <row r="33" spans="1:21" x14ac:dyDescent="0.25">
      <c r="A33" s="21" t="s">
        <v>34</v>
      </c>
      <c r="B33" s="55"/>
      <c r="C33" s="55"/>
      <c r="D33" s="54"/>
      <c r="E33" s="54"/>
      <c r="F33" s="54"/>
      <c r="G33" s="54"/>
      <c r="H33" s="54"/>
      <c r="I33" s="54"/>
      <c r="J33" s="54">
        <f t="shared" si="0"/>
        <v>0</v>
      </c>
      <c r="K33" s="52">
        <f t="shared" si="1"/>
        <v>0</v>
      </c>
      <c r="L33" s="53"/>
      <c r="M33" s="7">
        <f t="shared" si="2"/>
        <v>0</v>
      </c>
      <c r="N33" s="7"/>
      <c r="O33" s="52">
        <f t="shared" si="3"/>
        <v>0</v>
      </c>
      <c r="P33" s="52">
        <f>((15*2)/10)*P1</f>
        <v>90</v>
      </c>
      <c r="Q33" s="52"/>
      <c r="R33" s="52">
        <f t="shared" si="4"/>
        <v>0</v>
      </c>
      <c r="S33" s="52">
        <f t="shared" si="5"/>
        <v>90</v>
      </c>
      <c r="T33" s="37">
        <f t="shared" si="6"/>
        <v>27</v>
      </c>
      <c r="U33" s="52">
        <f t="shared" si="7"/>
        <v>117</v>
      </c>
    </row>
    <row r="34" spans="1:21" x14ac:dyDescent="0.25">
      <c r="A34" s="39" t="s">
        <v>51</v>
      </c>
      <c r="B34" s="55"/>
      <c r="C34" s="55"/>
      <c r="D34" s="54"/>
      <c r="E34" s="54"/>
      <c r="F34" s="54"/>
      <c r="G34" s="54"/>
      <c r="H34" s="54"/>
      <c r="I34" s="54"/>
      <c r="J34" s="54">
        <f t="shared" si="0"/>
        <v>0</v>
      </c>
      <c r="K34" s="52">
        <f t="shared" si="1"/>
        <v>0</v>
      </c>
      <c r="L34" s="53"/>
      <c r="M34" s="7">
        <f t="shared" si="2"/>
        <v>0</v>
      </c>
      <c r="N34" s="7"/>
      <c r="O34" s="52">
        <f t="shared" si="3"/>
        <v>0</v>
      </c>
      <c r="P34" s="52">
        <f>((110*2)/10)*P1</f>
        <v>660</v>
      </c>
      <c r="Q34" s="52"/>
      <c r="R34" s="52">
        <f t="shared" si="4"/>
        <v>0</v>
      </c>
      <c r="S34" s="52">
        <f t="shared" si="5"/>
        <v>660</v>
      </c>
      <c r="T34" s="37">
        <f t="shared" si="6"/>
        <v>198</v>
      </c>
      <c r="U34" s="52">
        <f t="shared" si="7"/>
        <v>858</v>
      </c>
    </row>
    <row r="35" spans="1:21" x14ac:dyDescent="0.25">
      <c r="A35" s="39" t="s">
        <v>52</v>
      </c>
      <c r="B35" s="55"/>
      <c r="C35" s="55"/>
      <c r="D35" s="54"/>
      <c r="E35" s="54"/>
      <c r="F35" s="54"/>
      <c r="G35" s="54"/>
      <c r="H35" s="54"/>
      <c r="I35" s="54"/>
      <c r="J35" s="54">
        <f t="shared" si="0"/>
        <v>0</v>
      </c>
      <c r="K35" s="52">
        <f t="shared" si="1"/>
        <v>0</v>
      </c>
      <c r="L35" s="53"/>
      <c r="M35" s="7">
        <f t="shared" si="2"/>
        <v>0</v>
      </c>
      <c r="N35" s="7"/>
      <c r="O35" s="52">
        <f t="shared" si="3"/>
        <v>0</v>
      </c>
      <c r="P35" s="52">
        <f>((80*2)/10)*P1</f>
        <v>480</v>
      </c>
      <c r="Q35" s="52"/>
      <c r="R35" s="52">
        <f t="shared" si="4"/>
        <v>0</v>
      </c>
      <c r="S35" s="52">
        <f t="shared" si="5"/>
        <v>480</v>
      </c>
      <c r="T35" s="37">
        <f t="shared" si="6"/>
        <v>144</v>
      </c>
      <c r="U35" s="52">
        <f t="shared" si="7"/>
        <v>624</v>
      </c>
    </row>
    <row r="36" spans="1:21" x14ac:dyDescent="0.25">
      <c r="A36" s="39" t="s">
        <v>53</v>
      </c>
      <c r="B36" s="55"/>
      <c r="C36" s="55"/>
      <c r="D36" s="54"/>
      <c r="E36" s="54"/>
      <c r="F36" s="54"/>
      <c r="G36" s="54"/>
      <c r="H36" s="54"/>
      <c r="I36" s="54"/>
      <c r="J36" s="54">
        <f t="shared" si="0"/>
        <v>0</v>
      </c>
      <c r="K36" s="52">
        <f t="shared" si="1"/>
        <v>0</v>
      </c>
      <c r="L36" s="53"/>
      <c r="M36" s="7">
        <f t="shared" si="2"/>
        <v>0</v>
      </c>
      <c r="N36" s="7"/>
      <c r="O36" s="52">
        <f t="shared" si="3"/>
        <v>0</v>
      </c>
      <c r="P36" s="52">
        <f>((9*2)/10)*P1</f>
        <v>54</v>
      </c>
      <c r="Q36" s="52"/>
      <c r="R36" s="52">
        <f t="shared" si="4"/>
        <v>0</v>
      </c>
      <c r="S36" s="52">
        <f t="shared" si="5"/>
        <v>54</v>
      </c>
      <c r="T36" s="37">
        <f t="shared" si="6"/>
        <v>16.2</v>
      </c>
      <c r="U36" s="52">
        <f t="shared" si="7"/>
        <v>70.2</v>
      </c>
    </row>
    <row r="37" spans="1:21" x14ac:dyDescent="0.25">
      <c r="A37" s="39" t="s">
        <v>54</v>
      </c>
      <c r="B37" s="55"/>
      <c r="C37" s="55"/>
      <c r="D37" s="54"/>
      <c r="E37" s="54"/>
      <c r="F37" s="54"/>
      <c r="G37" s="54"/>
      <c r="H37" s="54"/>
      <c r="I37" s="54"/>
      <c r="J37" s="54">
        <f t="shared" si="0"/>
        <v>0</v>
      </c>
      <c r="K37" s="52">
        <f t="shared" si="1"/>
        <v>0</v>
      </c>
      <c r="L37" s="53"/>
      <c r="M37" s="7">
        <f t="shared" si="2"/>
        <v>0</v>
      </c>
      <c r="N37" s="7"/>
      <c r="O37" s="52">
        <f t="shared" si="3"/>
        <v>0</v>
      </c>
      <c r="P37" s="52">
        <f>((20*2)/10)*P1</f>
        <v>120</v>
      </c>
      <c r="Q37" s="52"/>
      <c r="R37" s="52">
        <f t="shared" si="4"/>
        <v>0</v>
      </c>
      <c r="S37" s="52">
        <f t="shared" si="5"/>
        <v>120</v>
      </c>
      <c r="T37" s="37">
        <f t="shared" si="6"/>
        <v>36</v>
      </c>
      <c r="U37" s="52">
        <f t="shared" si="7"/>
        <v>156</v>
      </c>
    </row>
    <row r="38" spans="1:21" x14ac:dyDescent="0.25">
      <c r="A38" s="39" t="s">
        <v>55</v>
      </c>
      <c r="B38" s="55"/>
      <c r="C38" s="55"/>
      <c r="D38" s="54"/>
      <c r="E38" s="54"/>
      <c r="F38" s="54"/>
      <c r="G38" s="54"/>
      <c r="H38" s="54"/>
      <c r="I38" s="54"/>
      <c r="J38" s="54">
        <f t="shared" si="0"/>
        <v>0</v>
      </c>
      <c r="K38" s="52">
        <f t="shared" si="1"/>
        <v>0</v>
      </c>
      <c r="L38" s="53"/>
      <c r="M38" s="7">
        <f t="shared" si="2"/>
        <v>0</v>
      </c>
      <c r="N38" s="7"/>
      <c r="O38" s="52">
        <f t="shared" si="3"/>
        <v>0</v>
      </c>
      <c r="P38" s="52">
        <f>((6*2)/10)*P1</f>
        <v>36</v>
      </c>
      <c r="Q38" s="52"/>
      <c r="R38" s="52">
        <f t="shared" si="4"/>
        <v>0</v>
      </c>
      <c r="S38" s="52">
        <f t="shared" si="5"/>
        <v>36</v>
      </c>
      <c r="T38" s="37">
        <f t="shared" si="6"/>
        <v>10.799999999999999</v>
      </c>
      <c r="U38" s="52">
        <f t="shared" si="7"/>
        <v>46.8</v>
      </c>
    </row>
    <row r="39" spans="1:21" x14ac:dyDescent="0.25">
      <c r="A39" s="39" t="s">
        <v>57</v>
      </c>
      <c r="B39" s="55"/>
      <c r="C39" s="55"/>
      <c r="D39" s="54"/>
      <c r="E39" s="54"/>
      <c r="F39" s="54"/>
      <c r="G39" s="54"/>
      <c r="H39" s="54"/>
      <c r="I39" s="54"/>
      <c r="J39" s="54">
        <f t="shared" si="0"/>
        <v>0</v>
      </c>
      <c r="K39" s="52">
        <f t="shared" si="1"/>
        <v>0</v>
      </c>
      <c r="L39" s="53"/>
      <c r="M39" s="7">
        <f t="shared" si="2"/>
        <v>0</v>
      </c>
      <c r="N39" s="7"/>
      <c r="O39" s="52">
        <f t="shared" si="3"/>
        <v>0</v>
      </c>
      <c r="P39" s="52">
        <f>((8*2)/10)*P1</f>
        <v>48</v>
      </c>
      <c r="Q39" s="52"/>
      <c r="R39" s="52">
        <f t="shared" si="4"/>
        <v>0</v>
      </c>
      <c r="S39" s="52">
        <f t="shared" si="5"/>
        <v>48</v>
      </c>
      <c r="T39" s="37">
        <f t="shared" si="6"/>
        <v>14.399999999999999</v>
      </c>
      <c r="U39" s="52">
        <f t="shared" si="7"/>
        <v>62.4</v>
      </c>
    </row>
    <row r="40" spans="1:21" x14ac:dyDescent="0.25">
      <c r="A40" s="39" t="s">
        <v>58</v>
      </c>
      <c r="B40" s="55"/>
      <c r="C40" s="55"/>
      <c r="D40" s="54"/>
      <c r="E40" s="54"/>
      <c r="F40" s="54"/>
      <c r="G40" s="54"/>
      <c r="H40" s="54"/>
      <c r="I40" s="54"/>
      <c r="J40" s="54">
        <f t="shared" si="0"/>
        <v>0</v>
      </c>
      <c r="K40" s="52">
        <f t="shared" si="1"/>
        <v>0</v>
      </c>
      <c r="L40" s="53"/>
      <c r="M40" s="7">
        <f t="shared" si="2"/>
        <v>0</v>
      </c>
      <c r="N40" s="7"/>
      <c r="O40" s="52">
        <f t="shared" si="3"/>
        <v>0</v>
      </c>
      <c r="P40" s="52">
        <f>((8*2)/10)*P1</f>
        <v>48</v>
      </c>
      <c r="Q40" s="52"/>
      <c r="R40" s="52">
        <f t="shared" si="4"/>
        <v>0</v>
      </c>
      <c r="S40" s="52">
        <f t="shared" si="5"/>
        <v>48</v>
      </c>
      <c r="T40" s="37">
        <f t="shared" si="6"/>
        <v>14.399999999999999</v>
      </c>
      <c r="U40" s="52">
        <f t="shared" si="7"/>
        <v>62.4</v>
      </c>
    </row>
    <row r="41" spans="1:21" x14ac:dyDescent="0.25">
      <c r="A41" s="39" t="s">
        <v>59</v>
      </c>
      <c r="B41" s="55"/>
      <c r="C41" s="55"/>
      <c r="D41" s="54"/>
      <c r="E41" s="54"/>
      <c r="F41" s="54"/>
      <c r="G41" s="54"/>
      <c r="H41" s="54"/>
      <c r="I41" s="54"/>
      <c r="J41" s="54">
        <f t="shared" si="0"/>
        <v>0</v>
      </c>
      <c r="K41" s="52">
        <f t="shared" si="1"/>
        <v>0</v>
      </c>
      <c r="L41" s="53"/>
      <c r="M41" s="7">
        <f t="shared" si="2"/>
        <v>0</v>
      </c>
      <c r="N41" s="53"/>
      <c r="O41" s="52">
        <f t="shared" si="3"/>
        <v>0</v>
      </c>
      <c r="P41" s="52">
        <f>((40*2)/10)*P1</f>
        <v>240</v>
      </c>
      <c r="Q41" s="52"/>
      <c r="R41" s="52">
        <f t="shared" si="4"/>
        <v>0</v>
      </c>
      <c r="S41" s="52">
        <f t="shared" si="5"/>
        <v>240</v>
      </c>
      <c r="T41" s="37">
        <f t="shared" si="6"/>
        <v>72</v>
      </c>
      <c r="U41" s="52">
        <f t="shared" si="7"/>
        <v>312</v>
      </c>
    </row>
    <row r="42" spans="1:21" x14ac:dyDescent="0.25">
      <c r="A42" s="39" t="s">
        <v>60</v>
      </c>
      <c r="B42" s="55"/>
      <c r="C42" s="55"/>
      <c r="D42" s="54"/>
      <c r="E42" s="54"/>
      <c r="F42" s="54"/>
      <c r="G42" s="54"/>
      <c r="H42" s="54"/>
      <c r="I42" s="54"/>
      <c r="J42" s="54">
        <f t="shared" si="0"/>
        <v>0</v>
      </c>
      <c r="K42" s="52">
        <f t="shared" si="1"/>
        <v>0</v>
      </c>
      <c r="L42" s="53"/>
      <c r="M42" s="7">
        <f t="shared" si="2"/>
        <v>0</v>
      </c>
      <c r="N42" s="53"/>
      <c r="O42" s="52">
        <f t="shared" si="3"/>
        <v>0</v>
      </c>
      <c r="P42" s="52">
        <f>((7*2)/10)*P1</f>
        <v>42</v>
      </c>
      <c r="Q42" s="52"/>
      <c r="R42" s="52">
        <f t="shared" si="4"/>
        <v>0</v>
      </c>
      <c r="S42" s="52">
        <f t="shared" si="5"/>
        <v>42</v>
      </c>
      <c r="T42" s="37">
        <f t="shared" si="6"/>
        <v>12.6</v>
      </c>
      <c r="U42" s="52">
        <f t="shared" si="7"/>
        <v>54.6</v>
      </c>
    </row>
    <row r="43" spans="1:21" x14ac:dyDescent="0.25">
      <c r="A43" s="39" t="s">
        <v>61</v>
      </c>
      <c r="B43" s="55"/>
      <c r="C43" s="55"/>
      <c r="D43" s="54"/>
      <c r="E43" s="54"/>
      <c r="F43" s="54"/>
      <c r="G43" s="54"/>
      <c r="H43" s="54"/>
      <c r="I43" s="54"/>
      <c r="J43" s="54">
        <f t="shared" si="0"/>
        <v>0</v>
      </c>
      <c r="K43" s="52">
        <f t="shared" si="1"/>
        <v>0</v>
      </c>
      <c r="L43" s="53"/>
      <c r="M43" s="7">
        <f t="shared" si="2"/>
        <v>0</v>
      </c>
      <c r="N43" s="53"/>
      <c r="O43" s="52">
        <f t="shared" si="3"/>
        <v>0</v>
      </c>
      <c r="P43" s="52">
        <f>((8*2)/10)*P1</f>
        <v>48</v>
      </c>
      <c r="Q43" s="52"/>
      <c r="R43" s="52">
        <f t="shared" si="4"/>
        <v>0</v>
      </c>
      <c r="S43" s="52">
        <f t="shared" si="5"/>
        <v>48</v>
      </c>
      <c r="T43" s="37">
        <f t="shared" si="6"/>
        <v>14.399999999999999</v>
      </c>
      <c r="U43" s="52">
        <f t="shared" si="7"/>
        <v>62.4</v>
      </c>
    </row>
    <row r="44" spans="1:21" x14ac:dyDescent="0.25">
      <c r="A44" s="39" t="s">
        <v>62</v>
      </c>
      <c r="B44" s="55"/>
      <c r="C44" s="55"/>
      <c r="D44" s="54"/>
      <c r="E44" s="54"/>
      <c r="F44" s="54"/>
      <c r="G44" s="54"/>
      <c r="H44" s="54"/>
      <c r="I44" s="54"/>
      <c r="J44" s="54">
        <f t="shared" si="0"/>
        <v>0</v>
      </c>
      <c r="K44" s="52">
        <f t="shared" si="1"/>
        <v>0</v>
      </c>
      <c r="L44" s="53"/>
      <c r="M44" s="7">
        <f t="shared" si="2"/>
        <v>0</v>
      </c>
      <c r="N44" s="53"/>
      <c r="O44" s="52">
        <f t="shared" si="3"/>
        <v>0</v>
      </c>
      <c r="P44" s="52">
        <f>((10*2)/10)*P1</f>
        <v>60</v>
      </c>
      <c r="Q44" s="52"/>
      <c r="R44" s="52">
        <f t="shared" si="4"/>
        <v>0</v>
      </c>
      <c r="S44" s="52">
        <f t="shared" si="5"/>
        <v>60</v>
      </c>
      <c r="T44" s="37">
        <f t="shared" si="6"/>
        <v>18</v>
      </c>
      <c r="U44" s="52">
        <f t="shared" si="7"/>
        <v>78</v>
      </c>
    </row>
    <row r="45" spans="1:21" x14ac:dyDescent="0.25">
      <c r="A45" s="39" t="s">
        <v>63</v>
      </c>
      <c r="B45" s="55"/>
      <c r="C45" s="55"/>
      <c r="D45" s="54"/>
      <c r="E45" s="54"/>
      <c r="F45" s="54"/>
      <c r="G45" s="54"/>
      <c r="H45" s="54"/>
      <c r="I45" s="54"/>
      <c r="J45" s="54">
        <f t="shared" si="0"/>
        <v>0</v>
      </c>
      <c r="K45" s="52">
        <f t="shared" si="1"/>
        <v>0</v>
      </c>
      <c r="L45" s="53"/>
      <c r="M45" s="7">
        <f t="shared" si="2"/>
        <v>0</v>
      </c>
      <c r="N45" s="53"/>
      <c r="O45" s="52">
        <f t="shared" si="3"/>
        <v>0</v>
      </c>
      <c r="P45" s="52">
        <f>((6*2)/10)*P1</f>
        <v>36</v>
      </c>
      <c r="Q45" s="52"/>
      <c r="R45" s="52">
        <f t="shared" si="4"/>
        <v>0</v>
      </c>
      <c r="S45" s="52">
        <f t="shared" si="5"/>
        <v>36</v>
      </c>
      <c r="T45" s="37">
        <f t="shared" si="6"/>
        <v>10.799999999999999</v>
      </c>
      <c r="U45" s="52">
        <f t="shared" si="7"/>
        <v>46.8</v>
      </c>
    </row>
    <row r="46" spans="1:21" x14ac:dyDescent="0.25">
      <c r="A46" s="39" t="s">
        <v>64</v>
      </c>
      <c r="B46" s="55"/>
      <c r="C46" s="55"/>
      <c r="D46" s="54"/>
      <c r="E46" s="54"/>
      <c r="F46" s="54"/>
      <c r="G46" s="54"/>
      <c r="H46" s="54"/>
      <c r="I46" s="54"/>
      <c r="J46" s="54">
        <f t="shared" si="0"/>
        <v>0</v>
      </c>
      <c r="K46" s="52">
        <f t="shared" si="1"/>
        <v>0</v>
      </c>
      <c r="L46" s="53"/>
      <c r="M46" s="7">
        <f t="shared" si="2"/>
        <v>0</v>
      </c>
      <c r="N46" s="53"/>
      <c r="O46" s="52">
        <f t="shared" si="3"/>
        <v>0</v>
      </c>
      <c r="P46" s="52">
        <f>((8*2)/10)*P1</f>
        <v>48</v>
      </c>
      <c r="Q46" s="52"/>
      <c r="R46" s="52">
        <f t="shared" si="4"/>
        <v>0</v>
      </c>
      <c r="S46" s="52">
        <f t="shared" si="5"/>
        <v>48</v>
      </c>
      <c r="T46" s="37">
        <f t="shared" si="6"/>
        <v>14.399999999999999</v>
      </c>
      <c r="U46" s="52">
        <f t="shared" si="7"/>
        <v>62.4</v>
      </c>
    </row>
    <row r="47" spans="1:21" x14ac:dyDescent="0.25">
      <c r="A47" s="39" t="s">
        <v>65</v>
      </c>
      <c r="B47" s="55"/>
      <c r="C47" s="55"/>
      <c r="D47" s="54"/>
      <c r="E47" s="54"/>
      <c r="F47" s="54"/>
      <c r="G47" s="54"/>
      <c r="H47" s="54"/>
      <c r="I47" s="54"/>
      <c r="J47" s="54">
        <f t="shared" si="0"/>
        <v>0</v>
      </c>
      <c r="K47" s="52">
        <f t="shared" si="1"/>
        <v>0</v>
      </c>
      <c r="L47" s="53"/>
      <c r="M47" s="7">
        <f t="shared" si="2"/>
        <v>0</v>
      </c>
      <c r="N47" s="53"/>
      <c r="O47" s="52">
        <f t="shared" si="3"/>
        <v>0</v>
      </c>
      <c r="P47" s="52">
        <f>((20*2)/10)*P1</f>
        <v>120</v>
      </c>
      <c r="Q47" s="52"/>
      <c r="R47" s="52">
        <f t="shared" si="4"/>
        <v>0</v>
      </c>
      <c r="S47" s="52">
        <f t="shared" si="5"/>
        <v>120</v>
      </c>
      <c r="T47" s="37">
        <f t="shared" si="6"/>
        <v>36</v>
      </c>
      <c r="U47" s="52">
        <f t="shared" si="7"/>
        <v>156</v>
      </c>
    </row>
    <row r="48" spans="1:21" x14ac:dyDescent="0.25">
      <c r="A48" s="39" t="s">
        <v>66</v>
      </c>
      <c r="B48" s="55"/>
      <c r="C48" s="55"/>
      <c r="D48" s="54"/>
      <c r="E48" s="54"/>
      <c r="F48" s="54"/>
      <c r="G48" s="54"/>
      <c r="H48" s="54"/>
      <c r="I48" s="54"/>
      <c r="J48" s="54">
        <f t="shared" si="0"/>
        <v>0</v>
      </c>
      <c r="K48" s="52">
        <f t="shared" si="1"/>
        <v>0</v>
      </c>
      <c r="L48" s="53"/>
      <c r="M48" s="7">
        <f t="shared" si="2"/>
        <v>0</v>
      </c>
      <c r="N48" s="53"/>
      <c r="O48" s="52">
        <f t="shared" si="3"/>
        <v>0</v>
      </c>
      <c r="P48" s="52">
        <f>((36*2)/10)*P1</f>
        <v>216</v>
      </c>
      <c r="Q48" s="52"/>
      <c r="R48" s="52">
        <f t="shared" si="4"/>
        <v>0</v>
      </c>
      <c r="S48" s="52">
        <f t="shared" si="5"/>
        <v>216</v>
      </c>
      <c r="T48" s="37">
        <f t="shared" si="6"/>
        <v>64.8</v>
      </c>
      <c r="U48" s="52">
        <f t="shared" si="7"/>
        <v>280.8</v>
      </c>
    </row>
    <row r="49" spans="1:21" x14ac:dyDescent="0.25">
      <c r="A49" s="39" t="s">
        <v>67</v>
      </c>
      <c r="B49" s="55"/>
      <c r="C49" s="55"/>
      <c r="D49" s="54"/>
      <c r="E49" s="54"/>
      <c r="F49" s="54"/>
      <c r="G49" s="54"/>
      <c r="H49" s="54"/>
      <c r="I49" s="54"/>
      <c r="J49" s="54">
        <f t="shared" si="0"/>
        <v>0</v>
      </c>
      <c r="K49" s="52">
        <f t="shared" si="1"/>
        <v>0</v>
      </c>
      <c r="L49" s="53"/>
      <c r="M49" s="7">
        <f t="shared" si="2"/>
        <v>0</v>
      </c>
      <c r="N49" s="53"/>
      <c r="O49" s="52">
        <f t="shared" si="3"/>
        <v>0</v>
      </c>
      <c r="P49" s="52">
        <f>((25*2)/10)*P1</f>
        <v>150</v>
      </c>
      <c r="Q49" s="52"/>
      <c r="R49" s="52">
        <f t="shared" si="4"/>
        <v>0</v>
      </c>
      <c r="S49" s="52">
        <f t="shared" si="5"/>
        <v>150</v>
      </c>
      <c r="T49" s="37">
        <f t="shared" si="6"/>
        <v>45</v>
      </c>
      <c r="U49" s="52">
        <f t="shared" si="7"/>
        <v>195</v>
      </c>
    </row>
    <row r="50" spans="1:21" x14ac:dyDescent="0.25">
      <c r="A50" s="39" t="s">
        <v>69</v>
      </c>
      <c r="B50" s="55"/>
      <c r="C50" s="55"/>
      <c r="D50" s="54"/>
      <c r="E50" s="54"/>
      <c r="F50" s="54"/>
      <c r="G50" s="54"/>
      <c r="H50" s="54"/>
      <c r="I50" s="54"/>
      <c r="J50" s="54">
        <f t="shared" si="0"/>
        <v>0</v>
      </c>
      <c r="K50" s="52">
        <f t="shared" si="1"/>
        <v>0</v>
      </c>
      <c r="L50" s="53"/>
      <c r="M50" s="7">
        <f t="shared" si="2"/>
        <v>0</v>
      </c>
      <c r="N50" s="53"/>
      <c r="O50" s="52">
        <f t="shared" si="3"/>
        <v>0</v>
      </c>
      <c r="P50" s="52">
        <f>((10*2)/10)*P1</f>
        <v>60</v>
      </c>
      <c r="Q50" s="52"/>
      <c r="R50" s="52">
        <f t="shared" si="4"/>
        <v>0</v>
      </c>
      <c r="S50" s="52">
        <f t="shared" si="5"/>
        <v>60</v>
      </c>
      <c r="T50" s="37">
        <f t="shared" si="6"/>
        <v>18</v>
      </c>
      <c r="U50" s="52">
        <f t="shared" si="7"/>
        <v>78</v>
      </c>
    </row>
    <row r="51" spans="1:21" x14ac:dyDescent="0.25">
      <c r="A51" s="39" t="s">
        <v>70</v>
      </c>
      <c r="B51" s="55"/>
      <c r="C51" s="55"/>
      <c r="D51" s="54"/>
      <c r="E51" s="54"/>
      <c r="F51" s="54"/>
      <c r="G51" s="54"/>
      <c r="H51" s="54"/>
      <c r="I51" s="54"/>
      <c r="J51" s="54">
        <f t="shared" si="0"/>
        <v>0</v>
      </c>
      <c r="K51" s="52">
        <f t="shared" si="1"/>
        <v>0</v>
      </c>
      <c r="L51" s="53"/>
      <c r="M51" s="7">
        <f t="shared" si="2"/>
        <v>0</v>
      </c>
      <c r="N51" s="53"/>
      <c r="O51" s="52">
        <f t="shared" si="3"/>
        <v>0</v>
      </c>
      <c r="P51" s="52">
        <f>((8*2)/10)*P1</f>
        <v>48</v>
      </c>
      <c r="Q51" s="52"/>
      <c r="R51" s="52">
        <f t="shared" si="4"/>
        <v>0</v>
      </c>
      <c r="S51" s="52">
        <f t="shared" si="5"/>
        <v>48</v>
      </c>
      <c r="T51" s="37">
        <f t="shared" si="6"/>
        <v>14.399999999999999</v>
      </c>
      <c r="U51" s="52">
        <f t="shared" si="7"/>
        <v>62.4</v>
      </c>
    </row>
    <row r="52" spans="1:21" x14ac:dyDescent="0.25">
      <c r="A52" s="39" t="s">
        <v>85</v>
      </c>
      <c r="B52" s="56"/>
      <c r="C52" s="56"/>
      <c r="D52" s="56"/>
      <c r="E52" s="56"/>
      <c r="F52" s="56"/>
      <c r="G52" s="56"/>
      <c r="H52" s="56"/>
      <c r="I52" s="56"/>
      <c r="J52" s="54">
        <f t="shared" si="0"/>
        <v>0</v>
      </c>
      <c r="K52" s="52">
        <f t="shared" si="1"/>
        <v>0</v>
      </c>
      <c r="L52" s="53"/>
      <c r="M52" s="7">
        <f t="shared" si="2"/>
        <v>0</v>
      </c>
      <c r="N52" s="53"/>
      <c r="O52" s="52">
        <f t="shared" si="3"/>
        <v>0</v>
      </c>
      <c r="P52" s="52">
        <f>((107*2)/10)*P1</f>
        <v>642</v>
      </c>
      <c r="Q52" s="52"/>
      <c r="R52" s="52">
        <f t="shared" si="4"/>
        <v>0</v>
      </c>
      <c r="S52" s="52">
        <f t="shared" si="5"/>
        <v>642</v>
      </c>
      <c r="T52" s="37">
        <f t="shared" si="6"/>
        <v>192.6</v>
      </c>
      <c r="U52" s="52">
        <f t="shared" si="7"/>
        <v>834.6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0455-F51F-447E-880C-661AF8B70AFC}">
  <dimension ref="A1:J53"/>
  <sheetViews>
    <sheetView workbookViewId="0">
      <selection activeCell="Q22" sqref="Q22"/>
    </sheetView>
  </sheetViews>
  <sheetFormatPr baseColWidth="10" defaultRowHeight="15" x14ac:dyDescent="0.25"/>
  <cols>
    <col min="1" max="1" width="20.85546875" customWidth="1"/>
    <col min="3" max="3" width="14.28515625" customWidth="1"/>
    <col min="5" max="5" width="13.28515625" customWidth="1"/>
    <col min="6" max="6" width="17.85546875" customWidth="1"/>
    <col min="7" max="7" width="13.85546875" style="2" customWidth="1"/>
    <col min="8" max="8" width="20" customWidth="1"/>
    <col min="9" max="9" width="18.85546875" customWidth="1"/>
    <col min="10" max="10" width="16.7109375" customWidth="1"/>
  </cols>
  <sheetData>
    <row r="1" spans="1:10" ht="15.75" x14ac:dyDescent="0.25">
      <c r="C1" s="51">
        <v>30</v>
      </c>
      <c r="D1" s="61">
        <v>87</v>
      </c>
      <c r="E1" s="46"/>
      <c r="F1" s="46"/>
      <c r="G1" s="62">
        <v>52.67</v>
      </c>
    </row>
    <row r="2" spans="1:10" ht="30" x14ac:dyDescent="0.25">
      <c r="A2" s="19" t="s">
        <v>0</v>
      </c>
      <c r="B2" s="29" t="s">
        <v>46</v>
      </c>
      <c r="C2" s="34" t="s">
        <v>84</v>
      </c>
      <c r="D2" s="28" t="s">
        <v>41</v>
      </c>
      <c r="E2" s="30" t="s">
        <v>42</v>
      </c>
      <c r="F2" s="28" t="s">
        <v>93</v>
      </c>
      <c r="G2" s="29" t="s">
        <v>45</v>
      </c>
      <c r="H2" s="30" t="s">
        <v>90</v>
      </c>
      <c r="I2" s="34" t="s">
        <v>56</v>
      </c>
      <c r="J2" s="38" t="s">
        <v>48</v>
      </c>
    </row>
    <row r="3" spans="1:10" x14ac:dyDescent="0.25">
      <c r="A3" s="20" t="s">
        <v>2</v>
      </c>
      <c r="B3" s="31">
        <v>5</v>
      </c>
      <c r="C3" s="52">
        <f>((100*2)/10)*C1</f>
        <v>600</v>
      </c>
      <c r="D3" s="32">
        <f>B3*$D$1</f>
        <v>435</v>
      </c>
      <c r="E3" s="33">
        <f>C3+D3</f>
        <v>1035</v>
      </c>
      <c r="F3" s="7"/>
      <c r="G3" s="18">
        <f>B3*$G$1</f>
        <v>263.35000000000002</v>
      </c>
      <c r="H3" s="37">
        <f>E3+F3+G3</f>
        <v>1298.3499999999999</v>
      </c>
      <c r="I3" s="23">
        <f>H3*1.45</f>
        <v>1882.6074999999998</v>
      </c>
      <c r="J3" s="23">
        <f>I3*1.03</f>
        <v>1939.0857249999999</v>
      </c>
    </row>
    <row r="4" spans="1:10" x14ac:dyDescent="0.25">
      <c r="A4" s="21" t="s">
        <v>50</v>
      </c>
      <c r="B4" s="26">
        <v>5</v>
      </c>
      <c r="C4" s="52">
        <f>((100*2)/10)*C1</f>
        <v>600</v>
      </c>
      <c r="D4" s="32">
        <f t="shared" ref="D4:D52" si="0">B4*$D$1</f>
        <v>435</v>
      </c>
      <c r="E4" s="33">
        <f t="shared" ref="E4:E52" si="1">C4+D4</f>
        <v>1035</v>
      </c>
      <c r="F4" s="7"/>
      <c r="G4" s="18">
        <f t="shared" ref="G4:G51" si="2">B4*$G$1</f>
        <v>263.35000000000002</v>
      </c>
      <c r="H4" s="37">
        <f t="shared" ref="H4:H52" si="3">E4+F4+G4</f>
        <v>1298.3499999999999</v>
      </c>
      <c r="I4" s="23">
        <f t="shared" ref="I4:I35" si="4">H4*1.4</f>
        <v>1817.6899999999998</v>
      </c>
      <c r="J4" s="23">
        <f t="shared" ref="J4:J52" si="5">I4*1.03</f>
        <v>1872.2206999999999</v>
      </c>
    </row>
    <row r="5" spans="1:10" x14ac:dyDescent="0.25">
      <c r="A5" s="20" t="s">
        <v>7</v>
      </c>
      <c r="B5" s="24">
        <v>5</v>
      </c>
      <c r="C5" s="52">
        <f>((100*2)/10)*C1</f>
        <v>600</v>
      </c>
      <c r="D5" s="32">
        <f t="shared" si="0"/>
        <v>435</v>
      </c>
      <c r="E5" s="33">
        <f t="shared" si="1"/>
        <v>1035</v>
      </c>
      <c r="F5" s="7"/>
      <c r="G5" s="18">
        <f t="shared" si="2"/>
        <v>263.35000000000002</v>
      </c>
      <c r="H5" s="37">
        <f t="shared" si="3"/>
        <v>1298.3499999999999</v>
      </c>
      <c r="I5" s="23">
        <f t="shared" si="4"/>
        <v>1817.6899999999998</v>
      </c>
      <c r="J5" s="23">
        <f t="shared" si="5"/>
        <v>1872.2206999999999</v>
      </c>
    </row>
    <row r="6" spans="1:10" x14ac:dyDescent="0.25">
      <c r="A6" s="21" t="s">
        <v>8</v>
      </c>
      <c r="B6" s="26">
        <v>2</v>
      </c>
      <c r="C6" s="52">
        <f>((10*2)/10)*C1</f>
        <v>60</v>
      </c>
      <c r="D6" s="32">
        <f t="shared" si="0"/>
        <v>174</v>
      </c>
      <c r="E6" s="33">
        <f t="shared" si="1"/>
        <v>234</v>
      </c>
      <c r="F6" s="7"/>
      <c r="G6" s="18">
        <f t="shared" si="2"/>
        <v>105.34</v>
      </c>
      <c r="H6" s="37">
        <f t="shared" si="3"/>
        <v>339.34000000000003</v>
      </c>
      <c r="I6" s="23">
        <f t="shared" si="4"/>
        <v>475.07600000000002</v>
      </c>
      <c r="J6" s="23">
        <f t="shared" si="5"/>
        <v>489.32828000000006</v>
      </c>
    </row>
    <row r="7" spans="1:10" x14ac:dyDescent="0.25">
      <c r="A7" s="20" t="s">
        <v>9</v>
      </c>
      <c r="B7" s="24">
        <v>3</v>
      </c>
      <c r="C7" s="52">
        <f>((45*2)/10)*C1</f>
        <v>270</v>
      </c>
      <c r="D7" s="32">
        <f t="shared" si="0"/>
        <v>261</v>
      </c>
      <c r="E7" s="33">
        <f t="shared" si="1"/>
        <v>531</v>
      </c>
      <c r="F7" s="7"/>
      <c r="G7" s="18">
        <f t="shared" si="2"/>
        <v>158.01</v>
      </c>
      <c r="H7" s="37">
        <f t="shared" si="3"/>
        <v>689.01</v>
      </c>
      <c r="I7" s="23">
        <f t="shared" si="4"/>
        <v>964.61399999999992</v>
      </c>
      <c r="J7" s="23">
        <f t="shared" si="5"/>
        <v>993.55241999999998</v>
      </c>
    </row>
    <row r="8" spans="1:10" x14ac:dyDescent="0.25">
      <c r="A8" s="21" t="s">
        <v>10</v>
      </c>
      <c r="B8" s="26">
        <v>3</v>
      </c>
      <c r="C8" s="52">
        <f>((40*2)/10)*C1</f>
        <v>240</v>
      </c>
      <c r="D8" s="32">
        <f t="shared" si="0"/>
        <v>261</v>
      </c>
      <c r="E8" s="33">
        <f t="shared" si="1"/>
        <v>501</v>
      </c>
      <c r="F8" s="7"/>
      <c r="G8" s="18">
        <f t="shared" si="2"/>
        <v>158.01</v>
      </c>
      <c r="H8" s="37">
        <f t="shared" si="3"/>
        <v>659.01</v>
      </c>
      <c r="I8" s="23">
        <f t="shared" si="4"/>
        <v>922.61399999999992</v>
      </c>
      <c r="J8" s="23">
        <f t="shared" si="5"/>
        <v>950.29241999999999</v>
      </c>
    </row>
    <row r="9" spans="1:10" x14ac:dyDescent="0.25">
      <c r="A9" s="20" t="s">
        <v>11</v>
      </c>
      <c r="B9" s="24">
        <v>3</v>
      </c>
      <c r="C9" s="52">
        <f>((45*2)/10)*C1</f>
        <v>270</v>
      </c>
      <c r="D9" s="32">
        <f t="shared" si="0"/>
        <v>261</v>
      </c>
      <c r="E9" s="33">
        <f t="shared" si="1"/>
        <v>531</v>
      </c>
      <c r="F9" s="7"/>
      <c r="G9" s="18">
        <f t="shared" si="2"/>
        <v>158.01</v>
      </c>
      <c r="H9" s="37">
        <f t="shared" si="3"/>
        <v>689.01</v>
      </c>
      <c r="I9" s="23">
        <f t="shared" si="4"/>
        <v>964.61399999999992</v>
      </c>
      <c r="J9" s="23">
        <f t="shared" si="5"/>
        <v>993.55241999999998</v>
      </c>
    </row>
    <row r="10" spans="1:10" x14ac:dyDescent="0.25">
      <c r="A10" s="21" t="s">
        <v>12</v>
      </c>
      <c r="B10" s="26">
        <v>2</v>
      </c>
      <c r="C10" s="52">
        <f>((16*2)/10)*C8</f>
        <v>768</v>
      </c>
      <c r="D10" s="32">
        <f t="shared" si="0"/>
        <v>174</v>
      </c>
      <c r="E10" s="33">
        <f t="shared" si="1"/>
        <v>942</v>
      </c>
      <c r="F10" s="7"/>
      <c r="G10" s="18">
        <f t="shared" si="2"/>
        <v>105.34</v>
      </c>
      <c r="H10" s="37">
        <f t="shared" si="3"/>
        <v>1047.3399999999999</v>
      </c>
      <c r="I10" s="23">
        <f t="shared" si="4"/>
        <v>1466.2759999999998</v>
      </c>
      <c r="J10" s="23">
        <f t="shared" si="5"/>
        <v>1510.2642799999999</v>
      </c>
    </row>
    <row r="11" spans="1:10" x14ac:dyDescent="0.25">
      <c r="A11" s="21" t="s">
        <v>49</v>
      </c>
      <c r="B11" s="24">
        <v>5</v>
      </c>
      <c r="C11" s="52">
        <f>((200*2)/10)*C1</f>
        <v>1200</v>
      </c>
      <c r="D11" s="32">
        <f t="shared" si="0"/>
        <v>435</v>
      </c>
      <c r="E11" s="33">
        <f t="shared" si="1"/>
        <v>1635</v>
      </c>
      <c r="F11" s="7"/>
      <c r="G11" s="18">
        <f t="shared" si="2"/>
        <v>263.35000000000002</v>
      </c>
      <c r="H11" s="37">
        <f t="shared" si="3"/>
        <v>1898.35</v>
      </c>
      <c r="I11" s="23">
        <f t="shared" si="4"/>
        <v>2657.6899999999996</v>
      </c>
      <c r="J11" s="23">
        <f t="shared" si="5"/>
        <v>2737.4206999999997</v>
      </c>
    </row>
    <row r="12" spans="1:10" x14ac:dyDescent="0.25">
      <c r="A12" s="20" t="s">
        <v>14</v>
      </c>
      <c r="B12" s="26">
        <v>5</v>
      </c>
      <c r="C12" s="52">
        <f>((200*2)/10)*C1</f>
        <v>1200</v>
      </c>
      <c r="D12" s="32">
        <f t="shared" si="0"/>
        <v>435</v>
      </c>
      <c r="E12" s="33">
        <f t="shared" si="1"/>
        <v>1635</v>
      </c>
      <c r="F12" s="7"/>
      <c r="G12" s="18">
        <f t="shared" si="2"/>
        <v>263.35000000000002</v>
      </c>
      <c r="H12" s="37">
        <f t="shared" si="3"/>
        <v>1898.35</v>
      </c>
      <c r="I12" s="23">
        <f t="shared" si="4"/>
        <v>2657.6899999999996</v>
      </c>
      <c r="J12" s="23">
        <f t="shared" si="5"/>
        <v>2737.4206999999997</v>
      </c>
    </row>
    <row r="13" spans="1:10" x14ac:dyDescent="0.25">
      <c r="A13" s="21" t="s">
        <v>15</v>
      </c>
      <c r="B13" s="24">
        <v>3</v>
      </c>
      <c r="C13" s="52">
        <f>((45*2)/10)*C1</f>
        <v>270</v>
      </c>
      <c r="D13" s="32">
        <f t="shared" si="0"/>
        <v>261</v>
      </c>
      <c r="E13" s="33">
        <f t="shared" si="1"/>
        <v>531</v>
      </c>
      <c r="F13" s="7"/>
      <c r="G13" s="18">
        <f t="shared" si="2"/>
        <v>158.01</v>
      </c>
      <c r="H13" s="37">
        <f t="shared" si="3"/>
        <v>689.01</v>
      </c>
      <c r="I13" s="23">
        <f t="shared" si="4"/>
        <v>964.61399999999992</v>
      </c>
      <c r="J13" s="23">
        <f t="shared" si="5"/>
        <v>993.55241999999998</v>
      </c>
    </row>
    <row r="14" spans="1:10" x14ac:dyDescent="0.25">
      <c r="A14" s="20" t="s">
        <v>16</v>
      </c>
      <c r="B14" s="26">
        <v>3</v>
      </c>
      <c r="C14" s="52">
        <f>((11*2)/10)*C1</f>
        <v>66</v>
      </c>
      <c r="D14" s="32">
        <f t="shared" si="0"/>
        <v>261</v>
      </c>
      <c r="E14" s="33">
        <f t="shared" si="1"/>
        <v>327</v>
      </c>
      <c r="F14" s="7"/>
      <c r="G14" s="18">
        <f t="shared" si="2"/>
        <v>158.01</v>
      </c>
      <c r="H14" s="37">
        <f t="shared" si="3"/>
        <v>485.01</v>
      </c>
      <c r="I14" s="23">
        <f t="shared" si="4"/>
        <v>679.0139999999999</v>
      </c>
      <c r="J14" s="23">
        <f t="shared" si="5"/>
        <v>699.38441999999986</v>
      </c>
    </row>
    <row r="15" spans="1:10" x14ac:dyDescent="0.25">
      <c r="A15" s="21" t="s">
        <v>17</v>
      </c>
      <c r="B15" s="24">
        <v>5</v>
      </c>
      <c r="C15" s="52">
        <f>((200*2)/10)*C1</f>
        <v>1200</v>
      </c>
      <c r="D15" s="32">
        <f t="shared" si="0"/>
        <v>435</v>
      </c>
      <c r="E15" s="33">
        <f t="shared" si="1"/>
        <v>1635</v>
      </c>
      <c r="F15" s="7"/>
      <c r="G15" s="18">
        <f t="shared" si="2"/>
        <v>263.35000000000002</v>
      </c>
      <c r="H15" s="37">
        <f t="shared" si="3"/>
        <v>1898.35</v>
      </c>
      <c r="I15" s="23">
        <f t="shared" si="4"/>
        <v>2657.6899999999996</v>
      </c>
      <c r="J15" s="23">
        <f t="shared" si="5"/>
        <v>2737.4206999999997</v>
      </c>
    </row>
    <row r="16" spans="1:10" x14ac:dyDescent="0.25">
      <c r="A16" s="20" t="s">
        <v>18</v>
      </c>
      <c r="B16" s="26">
        <v>3</v>
      </c>
      <c r="C16" s="52">
        <f>((35*2)/10)*C1</f>
        <v>210</v>
      </c>
      <c r="D16" s="32">
        <f t="shared" si="0"/>
        <v>261</v>
      </c>
      <c r="E16" s="33">
        <f t="shared" si="1"/>
        <v>471</v>
      </c>
      <c r="F16" s="7"/>
      <c r="G16" s="18">
        <f t="shared" si="2"/>
        <v>158.01</v>
      </c>
      <c r="H16" s="37">
        <f t="shared" si="3"/>
        <v>629.01</v>
      </c>
      <c r="I16" s="23">
        <f t="shared" si="4"/>
        <v>880.61399999999992</v>
      </c>
      <c r="J16" s="23">
        <f t="shared" si="5"/>
        <v>907.03241999999989</v>
      </c>
    </row>
    <row r="17" spans="1:10" x14ac:dyDescent="0.25">
      <c r="A17" s="21" t="s">
        <v>19</v>
      </c>
      <c r="B17" s="24">
        <v>3</v>
      </c>
      <c r="C17" s="52">
        <f>((35*2)/10)*C1</f>
        <v>210</v>
      </c>
      <c r="D17" s="32">
        <f t="shared" si="0"/>
        <v>261</v>
      </c>
      <c r="E17" s="33">
        <f t="shared" si="1"/>
        <v>471</v>
      </c>
      <c r="F17" s="7"/>
      <c r="G17" s="18">
        <f t="shared" si="2"/>
        <v>158.01</v>
      </c>
      <c r="H17" s="37">
        <f t="shared" si="3"/>
        <v>629.01</v>
      </c>
      <c r="I17" s="23">
        <f t="shared" si="4"/>
        <v>880.61399999999992</v>
      </c>
      <c r="J17" s="23">
        <f t="shared" si="5"/>
        <v>907.03241999999989</v>
      </c>
    </row>
    <row r="18" spans="1:10" x14ac:dyDescent="0.25">
      <c r="A18" s="20" t="s">
        <v>20</v>
      </c>
      <c r="B18" s="26">
        <v>3</v>
      </c>
      <c r="C18" s="52">
        <f>((37*2)/10)*C1</f>
        <v>222</v>
      </c>
      <c r="D18" s="32">
        <f t="shared" si="0"/>
        <v>261</v>
      </c>
      <c r="E18" s="33">
        <f t="shared" si="1"/>
        <v>483</v>
      </c>
      <c r="F18" s="7"/>
      <c r="G18" s="18">
        <f t="shared" si="2"/>
        <v>158.01</v>
      </c>
      <c r="H18" s="37">
        <f t="shared" si="3"/>
        <v>641.01</v>
      </c>
      <c r="I18" s="23">
        <f t="shared" si="4"/>
        <v>897.41399999999987</v>
      </c>
      <c r="J18" s="23">
        <f t="shared" si="5"/>
        <v>924.33641999999986</v>
      </c>
    </row>
    <row r="19" spans="1:10" x14ac:dyDescent="0.25">
      <c r="A19" s="21" t="s">
        <v>21</v>
      </c>
      <c r="B19" s="24">
        <v>2</v>
      </c>
      <c r="C19" s="52">
        <f>((9*2)/10)*C1</f>
        <v>54</v>
      </c>
      <c r="D19" s="32">
        <f t="shared" si="0"/>
        <v>174</v>
      </c>
      <c r="E19" s="33">
        <f t="shared" si="1"/>
        <v>228</v>
      </c>
      <c r="F19" s="7"/>
      <c r="G19" s="18">
        <f t="shared" si="2"/>
        <v>105.34</v>
      </c>
      <c r="H19" s="37">
        <f t="shared" si="3"/>
        <v>333.34000000000003</v>
      </c>
      <c r="I19" s="23">
        <f t="shared" si="4"/>
        <v>466.67599999999999</v>
      </c>
      <c r="J19" s="23">
        <f t="shared" si="5"/>
        <v>480.67628000000002</v>
      </c>
    </row>
    <row r="20" spans="1:10" x14ac:dyDescent="0.25">
      <c r="A20" s="20" t="s">
        <v>22</v>
      </c>
      <c r="B20" s="26">
        <v>2</v>
      </c>
      <c r="C20" s="52">
        <f>((6*2)/10)*C1</f>
        <v>36</v>
      </c>
      <c r="D20" s="32">
        <f t="shared" si="0"/>
        <v>174</v>
      </c>
      <c r="E20" s="33">
        <f t="shared" si="1"/>
        <v>210</v>
      </c>
      <c r="F20" s="7"/>
      <c r="G20" s="18">
        <f t="shared" si="2"/>
        <v>105.34</v>
      </c>
      <c r="H20" s="37">
        <f t="shared" si="3"/>
        <v>315.34000000000003</v>
      </c>
      <c r="I20" s="23">
        <f t="shared" si="4"/>
        <v>441.476</v>
      </c>
      <c r="J20" s="23">
        <f t="shared" si="5"/>
        <v>454.72028</v>
      </c>
    </row>
    <row r="21" spans="1:10" x14ac:dyDescent="0.25">
      <c r="A21" s="21" t="s">
        <v>23</v>
      </c>
      <c r="B21" s="24">
        <v>2</v>
      </c>
      <c r="C21" s="52">
        <f>((36*2)/10)*C1</f>
        <v>216</v>
      </c>
      <c r="D21" s="32">
        <f t="shared" si="0"/>
        <v>174</v>
      </c>
      <c r="E21" s="33">
        <f t="shared" si="1"/>
        <v>390</v>
      </c>
      <c r="F21" s="7"/>
      <c r="G21" s="18">
        <f t="shared" si="2"/>
        <v>105.34</v>
      </c>
      <c r="H21" s="37">
        <f t="shared" si="3"/>
        <v>495.34000000000003</v>
      </c>
      <c r="I21" s="23">
        <f t="shared" si="4"/>
        <v>693.476</v>
      </c>
      <c r="J21" s="23">
        <f t="shared" si="5"/>
        <v>714.28028000000006</v>
      </c>
    </row>
    <row r="22" spans="1:10" x14ac:dyDescent="0.25">
      <c r="A22" s="20" t="s">
        <v>24</v>
      </c>
      <c r="B22" s="26">
        <v>3</v>
      </c>
      <c r="C22" s="52">
        <f>((70*2)/10)*C1</f>
        <v>420</v>
      </c>
      <c r="D22" s="32">
        <f t="shared" si="0"/>
        <v>261</v>
      </c>
      <c r="E22" s="33">
        <f t="shared" si="1"/>
        <v>681</v>
      </c>
      <c r="F22" s="7"/>
      <c r="G22" s="18">
        <f t="shared" si="2"/>
        <v>158.01</v>
      </c>
      <c r="H22" s="37">
        <f t="shared" si="3"/>
        <v>839.01</v>
      </c>
      <c r="I22" s="23">
        <f t="shared" si="4"/>
        <v>1174.6139999999998</v>
      </c>
      <c r="J22" s="23">
        <f t="shared" si="5"/>
        <v>1209.8524199999999</v>
      </c>
    </row>
    <row r="23" spans="1:10" x14ac:dyDescent="0.25">
      <c r="A23" s="21" t="s">
        <v>25</v>
      </c>
      <c r="B23" s="24">
        <v>1</v>
      </c>
      <c r="C23" s="52">
        <f>((27*2)/10)*C1</f>
        <v>162</v>
      </c>
      <c r="D23" s="32">
        <f t="shared" si="0"/>
        <v>87</v>
      </c>
      <c r="E23" s="33">
        <f t="shared" si="1"/>
        <v>249</v>
      </c>
      <c r="F23" s="7"/>
      <c r="G23" s="18">
        <f t="shared" si="2"/>
        <v>52.67</v>
      </c>
      <c r="H23" s="37">
        <f t="shared" si="3"/>
        <v>301.67</v>
      </c>
      <c r="I23" s="23">
        <f t="shared" si="4"/>
        <v>422.33800000000002</v>
      </c>
      <c r="J23" s="23">
        <f t="shared" si="5"/>
        <v>435.00814000000003</v>
      </c>
    </row>
    <row r="24" spans="1:10" x14ac:dyDescent="0.25">
      <c r="A24" s="20" t="s">
        <v>26</v>
      </c>
      <c r="B24" s="26">
        <v>3</v>
      </c>
      <c r="C24" s="52">
        <f>((76*2)/10)*C1</f>
        <v>456</v>
      </c>
      <c r="D24" s="32">
        <f t="shared" si="0"/>
        <v>261</v>
      </c>
      <c r="E24" s="33">
        <f t="shared" si="1"/>
        <v>717</v>
      </c>
      <c r="F24" s="7"/>
      <c r="G24" s="18">
        <f t="shared" si="2"/>
        <v>158.01</v>
      </c>
      <c r="H24" s="37">
        <f t="shared" si="3"/>
        <v>875.01</v>
      </c>
      <c r="I24" s="23">
        <f t="shared" si="4"/>
        <v>1225.0139999999999</v>
      </c>
      <c r="J24" s="23">
        <f t="shared" si="5"/>
        <v>1261.76442</v>
      </c>
    </row>
    <row r="25" spans="1:10" x14ac:dyDescent="0.25">
      <c r="A25" s="21" t="s">
        <v>27</v>
      </c>
      <c r="B25" s="24">
        <v>3</v>
      </c>
      <c r="C25" s="52">
        <f>((70*2)/10)*C1</f>
        <v>420</v>
      </c>
      <c r="D25" s="32">
        <f t="shared" si="0"/>
        <v>261</v>
      </c>
      <c r="E25" s="33">
        <f t="shared" si="1"/>
        <v>681</v>
      </c>
      <c r="F25" s="7"/>
      <c r="G25" s="18">
        <f t="shared" si="2"/>
        <v>158.01</v>
      </c>
      <c r="H25" s="37">
        <f t="shared" si="3"/>
        <v>839.01</v>
      </c>
      <c r="I25" s="23">
        <f t="shared" si="4"/>
        <v>1174.6139999999998</v>
      </c>
      <c r="J25" s="23">
        <f t="shared" si="5"/>
        <v>1209.8524199999999</v>
      </c>
    </row>
    <row r="26" spans="1:10" x14ac:dyDescent="0.25">
      <c r="A26" s="20" t="s">
        <v>28</v>
      </c>
      <c r="B26" s="26">
        <v>3</v>
      </c>
      <c r="C26" s="52">
        <f>((70*2)/10)*C1</f>
        <v>420</v>
      </c>
      <c r="D26" s="32">
        <f t="shared" si="0"/>
        <v>261</v>
      </c>
      <c r="E26" s="33">
        <f t="shared" si="1"/>
        <v>681</v>
      </c>
      <c r="F26" s="7"/>
      <c r="G26" s="18">
        <f t="shared" si="2"/>
        <v>158.01</v>
      </c>
      <c r="H26" s="37">
        <f t="shared" si="3"/>
        <v>839.01</v>
      </c>
      <c r="I26" s="23">
        <f t="shared" si="4"/>
        <v>1174.6139999999998</v>
      </c>
      <c r="J26" s="23">
        <f t="shared" si="5"/>
        <v>1209.8524199999999</v>
      </c>
    </row>
    <row r="27" spans="1:10" x14ac:dyDescent="0.25">
      <c r="A27" s="21" t="s">
        <v>29</v>
      </c>
      <c r="B27" s="24">
        <v>2</v>
      </c>
      <c r="C27" s="52">
        <f>((36*2)/10)*C1</f>
        <v>216</v>
      </c>
      <c r="D27" s="32">
        <f t="shared" si="0"/>
        <v>174</v>
      </c>
      <c r="E27" s="33">
        <f t="shared" si="1"/>
        <v>390</v>
      </c>
      <c r="F27" s="7"/>
      <c r="G27" s="18">
        <f t="shared" si="2"/>
        <v>105.34</v>
      </c>
      <c r="H27" s="37">
        <f t="shared" si="3"/>
        <v>495.34000000000003</v>
      </c>
      <c r="I27" s="23">
        <f>H27*1.4</f>
        <v>693.476</v>
      </c>
      <c r="J27" s="23">
        <f>I27*1.03</f>
        <v>714.28028000000006</v>
      </c>
    </row>
    <row r="28" spans="1:10" x14ac:dyDescent="0.25">
      <c r="A28" s="20" t="s">
        <v>30</v>
      </c>
      <c r="B28" s="26">
        <v>3</v>
      </c>
      <c r="C28" s="52">
        <f>((16*2)/10)*C1</f>
        <v>96</v>
      </c>
      <c r="D28" s="32">
        <f t="shared" si="0"/>
        <v>261</v>
      </c>
      <c r="E28" s="33">
        <f t="shared" si="1"/>
        <v>357</v>
      </c>
      <c r="F28" s="7"/>
      <c r="G28" s="18">
        <f t="shared" si="2"/>
        <v>158.01</v>
      </c>
      <c r="H28" s="37">
        <f t="shared" si="3"/>
        <v>515.01</v>
      </c>
      <c r="I28" s="23">
        <f t="shared" si="4"/>
        <v>721.0139999999999</v>
      </c>
      <c r="J28" s="23">
        <f t="shared" si="5"/>
        <v>742.64441999999997</v>
      </c>
    </row>
    <row r="29" spans="1:10" x14ac:dyDescent="0.25">
      <c r="A29" s="21" t="s">
        <v>31</v>
      </c>
      <c r="B29" s="24">
        <v>2</v>
      </c>
      <c r="C29" s="52">
        <f>((32*2)/10)*C1</f>
        <v>192</v>
      </c>
      <c r="D29" s="32">
        <f t="shared" si="0"/>
        <v>174</v>
      </c>
      <c r="E29" s="33">
        <f t="shared" si="1"/>
        <v>366</v>
      </c>
      <c r="F29" s="7"/>
      <c r="G29" s="18">
        <f t="shared" si="2"/>
        <v>105.34</v>
      </c>
      <c r="H29" s="37">
        <f t="shared" si="3"/>
        <v>471.34000000000003</v>
      </c>
      <c r="I29" s="23">
        <f t="shared" si="4"/>
        <v>659.87599999999998</v>
      </c>
      <c r="J29" s="23">
        <f t="shared" si="5"/>
        <v>679.67228</v>
      </c>
    </row>
    <row r="30" spans="1:10" x14ac:dyDescent="0.25">
      <c r="A30" s="22" t="s">
        <v>38</v>
      </c>
      <c r="B30" s="26">
        <v>2</v>
      </c>
      <c r="C30" s="52">
        <f>((8*2)/10)*C1</f>
        <v>48</v>
      </c>
      <c r="D30" s="32">
        <f t="shared" si="0"/>
        <v>174</v>
      </c>
      <c r="E30" s="33">
        <f t="shared" si="1"/>
        <v>222</v>
      </c>
      <c r="F30" s="7"/>
      <c r="G30" s="18">
        <f t="shared" si="2"/>
        <v>105.34</v>
      </c>
      <c r="H30" s="37">
        <f t="shared" si="3"/>
        <v>327.34000000000003</v>
      </c>
      <c r="I30" s="23">
        <f t="shared" si="4"/>
        <v>458.27600000000001</v>
      </c>
      <c r="J30" s="23">
        <f t="shared" si="5"/>
        <v>472.02428000000003</v>
      </c>
    </row>
    <row r="31" spans="1:10" x14ac:dyDescent="0.25">
      <c r="A31" s="21" t="s">
        <v>32</v>
      </c>
      <c r="B31" s="24">
        <v>5</v>
      </c>
      <c r="C31" s="52">
        <f>((200*2)/10)*C1</f>
        <v>1200</v>
      </c>
      <c r="D31" s="32">
        <f t="shared" si="0"/>
        <v>435</v>
      </c>
      <c r="E31" s="33">
        <f t="shared" si="1"/>
        <v>1635</v>
      </c>
      <c r="F31" s="7"/>
      <c r="G31" s="18">
        <f t="shared" si="2"/>
        <v>263.35000000000002</v>
      </c>
      <c r="H31" s="37">
        <f t="shared" si="3"/>
        <v>1898.35</v>
      </c>
      <c r="I31" s="23">
        <f t="shared" si="4"/>
        <v>2657.6899999999996</v>
      </c>
      <c r="J31" s="23">
        <f t="shared" si="5"/>
        <v>2737.4206999999997</v>
      </c>
    </row>
    <row r="32" spans="1:10" x14ac:dyDescent="0.25">
      <c r="A32" s="20" t="s">
        <v>33</v>
      </c>
      <c r="B32" s="26">
        <v>2</v>
      </c>
      <c r="C32" s="52">
        <f>((13*2)/10)*C1</f>
        <v>78</v>
      </c>
      <c r="D32" s="32">
        <f t="shared" si="0"/>
        <v>174</v>
      </c>
      <c r="E32" s="33">
        <f t="shared" si="1"/>
        <v>252</v>
      </c>
      <c r="F32" s="7"/>
      <c r="G32" s="18">
        <f t="shared" si="2"/>
        <v>105.34</v>
      </c>
      <c r="H32" s="37">
        <f t="shared" si="3"/>
        <v>357.34000000000003</v>
      </c>
      <c r="I32" s="23">
        <f t="shared" si="4"/>
        <v>500.27600000000001</v>
      </c>
      <c r="J32" s="23">
        <f t="shared" si="5"/>
        <v>515.28428000000008</v>
      </c>
    </row>
    <row r="33" spans="1:10" x14ac:dyDescent="0.25">
      <c r="A33" s="21" t="s">
        <v>34</v>
      </c>
      <c r="B33" s="24">
        <v>2</v>
      </c>
      <c r="C33" s="52">
        <f>((15*2)/10)*C1</f>
        <v>90</v>
      </c>
      <c r="D33" s="32">
        <f t="shared" si="0"/>
        <v>174</v>
      </c>
      <c r="E33" s="33">
        <f t="shared" si="1"/>
        <v>264</v>
      </c>
      <c r="F33" s="7"/>
      <c r="G33" s="18">
        <f t="shared" si="2"/>
        <v>105.34</v>
      </c>
      <c r="H33" s="37">
        <f t="shared" si="3"/>
        <v>369.34000000000003</v>
      </c>
      <c r="I33" s="23">
        <f t="shared" si="4"/>
        <v>517.07600000000002</v>
      </c>
      <c r="J33" s="23">
        <f t="shared" si="5"/>
        <v>532.58828000000005</v>
      </c>
    </row>
    <row r="34" spans="1:10" x14ac:dyDescent="0.25">
      <c r="A34" s="39" t="s">
        <v>51</v>
      </c>
      <c r="B34" s="26">
        <v>4</v>
      </c>
      <c r="C34" s="52">
        <f>((110*2)/10)*C1</f>
        <v>660</v>
      </c>
      <c r="D34" s="32">
        <f t="shared" si="0"/>
        <v>348</v>
      </c>
      <c r="E34" s="33">
        <f>C34+D34</f>
        <v>1008</v>
      </c>
      <c r="F34" s="7"/>
      <c r="G34" s="18">
        <f t="shared" si="2"/>
        <v>210.68</v>
      </c>
      <c r="H34" s="37">
        <f t="shared" si="3"/>
        <v>1218.68</v>
      </c>
      <c r="I34" s="23">
        <f t="shared" si="4"/>
        <v>1706.152</v>
      </c>
      <c r="J34" s="23">
        <f t="shared" si="5"/>
        <v>1757.3365600000002</v>
      </c>
    </row>
    <row r="35" spans="1:10" x14ac:dyDescent="0.25">
      <c r="A35" s="39" t="s">
        <v>52</v>
      </c>
      <c r="B35" s="40">
        <v>4</v>
      </c>
      <c r="C35" s="52">
        <f>((80*2)/10)*C1</f>
        <v>480</v>
      </c>
      <c r="D35" s="32">
        <f t="shared" si="0"/>
        <v>348</v>
      </c>
      <c r="E35" s="33">
        <f t="shared" si="1"/>
        <v>828</v>
      </c>
      <c r="F35" s="7"/>
      <c r="G35" s="18">
        <f t="shared" si="2"/>
        <v>210.68</v>
      </c>
      <c r="H35" s="37">
        <f t="shared" si="3"/>
        <v>1038.68</v>
      </c>
      <c r="I35" s="23">
        <f t="shared" si="4"/>
        <v>1454.152</v>
      </c>
      <c r="J35" s="23">
        <f t="shared" si="5"/>
        <v>1497.77656</v>
      </c>
    </row>
    <row r="36" spans="1:10" x14ac:dyDescent="0.25">
      <c r="A36" s="39" t="s">
        <v>53</v>
      </c>
      <c r="B36" s="24">
        <v>3</v>
      </c>
      <c r="C36" s="52">
        <f>((9*2)/10)*C1</f>
        <v>54</v>
      </c>
      <c r="D36" s="32">
        <f t="shared" si="0"/>
        <v>261</v>
      </c>
      <c r="E36" s="33">
        <f t="shared" si="1"/>
        <v>315</v>
      </c>
      <c r="F36" s="7"/>
      <c r="G36" s="18">
        <f t="shared" si="2"/>
        <v>158.01</v>
      </c>
      <c r="H36" s="37">
        <f t="shared" si="3"/>
        <v>473.01</v>
      </c>
      <c r="I36" s="23">
        <f>H36*1.4</f>
        <v>662.21399999999994</v>
      </c>
      <c r="J36" s="23">
        <f t="shared" si="5"/>
        <v>682.08042</v>
      </c>
    </row>
    <row r="37" spans="1:10" x14ac:dyDescent="0.25">
      <c r="A37" s="39" t="s">
        <v>54</v>
      </c>
      <c r="B37" s="24">
        <v>3</v>
      </c>
      <c r="C37" s="52">
        <f>((20*2)/10)*C1</f>
        <v>120</v>
      </c>
      <c r="D37" s="32">
        <f t="shared" si="0"/>
        <v>261</v>
      </c>
      <c r="E37" s="33">
        <f t="shared" si="1"/>
        <v>381</v>
      </c>
      <c r="F37" s="7"/>
      <c r="G37" s="18">
        <f t="shared" si="2"/>
        <v>158.01</v>
      </c>
      <c r="H37" s="37">
        <f t="shared" si="3"/>
        <v>539.01</v>
      </c>
      <c r="I37" s="23">
        <f>H37*1.4</f>
        <v>754.61399999999992</v>
      </c>
      <c r="J37" s="23">
        <f t="shared" si="5"/>
        <v>777.25241999999992</v>
      </c>
    </row>
    <row r="38" spans="1:10" x14ac:dyDescent="0.25">
      <c r="A38" s="39" t="s">
        <v>55</v>
      </c>
      <c r="B38" s="24">
        <v>2</v>
      </c>
      <c r="C38" s="52">
        <f>((6*2)/10)*C1</f>
        <v>36</v>
      </c>
      <c r="D38" s="32">
        <f t="shared" si="0"/>
        <v>174</v>
      </c>
      <c r="E38" s="33">
        <f t="shared" si="1"/>
        <v>210</v>
      </c>
      <c r="F38" s="7"/>
      <c r="G38" s="18">
        <f t="shared" si="2"/>
        <v>105.34</v>
      </c>
      <c r="H38" s="37">
        <f t="shared" si="3"/>
        <v>315.34000000000003</v>
      </c>
      <c r="I38" s="23">
        <f t="shared" ref="I38:I52" si="6">H38*1.45</f>
        <v>457.24300000000005</v>
      </c>
      <c r="J38" s="23">
        <f t="shared" si="5"/>
        <v>470.96029000000004</v>
      </c>
    </row>
    <row r="39" spans="1:10" x14ac:dyDescent="0.25">
      <c r="A39" s="39" t="s">
        <v>57</v>
      </c>
      <c r="B39" s="24">
        <v>2</v>
      </c>
      <c r="C39" s="52">
        <f>((8*2)/10)*C1</f>
        <v>48</v>
      </c>
      <c r="D39" s="32">
        <f t="shared" si="0"/>
        <v>174</v>
      </c>
      <c r="E39" s="33">
        <f t="shared" si="1"/>
        <v>222</v>
      </c>
      <c r="F39" s="7"/>
      <c r="G39" s="18">
        <f t="shared" si="2"/>
        <v>105.34</v>
      </c>
      <c r="H39" s="37">
        <f t="shared" si="3"/>
        <v>327.34000000000003</v>
      </c>
      <c r="I39" s="23">
        <f t="shared" si="6"/>
        <v>474.64300000000003</v>
      </c>
      <c r="J39" s="23">
        <f t="shared" si="5"/>
        <v>488.88229000000007</v>
      </c>
    </row>
    <row r="40" spans="1:10" x14ac:dyDescent="0.25">
      <c r="A40" s="39" t="s">
        <v>58</v>
      </c>
      <c r="B40" s="24">
        <v>2</v>
      </c>
      <c r="C40" s="52">
        <f>((8*2)/10)*C1</f>
        <v>48</v>
      </c>
      <c r="D40" s="32">
        <f t="shared" si="0"/>
        <v>174</v>
      </c>
      <c r="E40" s="33">
        <f t="shared" si="1"/>
        <v>222</v>
      </c>
      <c r="F40" s="7"/>
      <c r="G40" s="18">
        <f t="shared" si="2"/>
        <v>105.34</v>
      </c>
      <c r="H40" s="37">
        <f t="shared" si="3"/>
        <v>327.34000000000003</v>
      </c>
      <c r="I40" s="23">
        <f t="shared" si="6"/>
        <v>474.64300000000003</v>
      </c>
      <c r="J40" s="23">
        <f t="shared" si="5"/>
        <v>488.88229000000007</v>
      </c>
    </row>
    <row r="41" spans="1:10" x14ac:dyDescent="0.25">
      <c r="A41" s="39" t="s">
        <v>59</v>
      </c>
      <c r="B41" s="24">
        <v>2</v>
      </c>
      <c r="C41" s="52">
        <f>((40*2)/10)*C1</f>
        <v>240</v>
      </c>
      <c r="D41" s="32">
        <f t="shared" si="0"/>
        <v>174</v>
      </c>
      <c r="E41" s="33">
        <f t="shared" si="1"/>
        <v>414</v>
      </c>
      <c r="F41" s="7"/>
      <c r="G41" s="18">
        <f t="shared" si="2"/>
        <v>105.34</v>
      </c>
      <c r="H41" s="37">
        <f t="shared" si="3"/>
        <v>519.34</v>
      </c>
      <c r="I41" s="23">
        <f t="shared" si="6"/>
        <v>753.04300000000001</v>
      </c>
      <c r="J41" s="23">
        <f t="shared" si="5"/>
        <v>775.63429000000008</v>
      </c>
    </row>
    <row r="42" spans="1:10" x14ac:dyDescent="0.25">
      <c r="A42" s="39" t="s">
        <v>60</v>
      </c>
      <c r="B42" s="26">
        <v>3</v>
      </c>
      <c r="C42" s="52">
        <f>((7*2)/10)*C1</f>
        <v>42</v>
      </c>
      <c r="D42" s="32">
        <f t="shared" si="0"/>
        <v>261</v>
      </c>
      <c r="E42" s="33">
        <f t="shared" si="1"/>
        <v>303</v>
      </c>
      <c r="F42" s="7"/>
      <c r="G42" s="18">
        <f t="shared" si="2"/>
        <v>158.01</v>
      </c>
      <c r="H42" s="37">
        <f t="shared" si="3"/>
        <v>461.01</v>
      </c>
      <c r="I42" s="23">
        <f t="shared" si="6"/>
        <v>668.46449999999993</v>
      </c>
      <c r="J42" s="23">
        <f t="shared" si="5"/>
        <v>688.51843499999995</v>
      </c>
    </row>
    <row r="43" spans="1:10" x14ac:dyDescent="0.25">
      <c r="A43" s="39" t="s">
        <v>61</v>
      </c>
      <c r="B43" s="24">
        <v>2</v>
      </c>
      <c r="C43" s="52">
        <f>((8*2)/10)*C1</f>
        <v>48</v>
      </c>
      <c r="D43" s="32">
        <f t="shared" si="0"/>
        <v>174</v>
      </c>
      <c r="E43" s="33">
        <f t="shared" si="1"/>
        <v>222</v>
      </c>
      <c r="F43" s="7"/>
      <c r="G43" s="18">
        <f t="shared" si="2"/>
        <v>105.34</v>
      </c>
      <c r="H43" s="37">
        <f t="shared" si="3"/>
        <v>327.34000000000003</v>
      </c>
      <c r="I43" s="23">
        <f t="shared" si="6"/>
        <v>474.64300000000003</v>
      </c>
      <c r="J43" s="23">
        <f t="shared" si="5"/>
        <v>488.88229000000007</v>
      </c>
    </row>
    <row r="44" spans="1:10" x14ac:dyDescent="0.25">
      <c r="A44" s="39" t="s">
        <v>62</v>
      </c>
      <c r="B44" s="24">
        <v>2</v>
      </c>
      <c r="C44" s="52">
        <f>((10*2)/10)*C1</f>
        <v>60</v>
      </c>
      <c r="D44" s="32">
        <f t="shared" si="0"/>
        <v>174</v>
      </c>
      <c r="E44" s="33">
        <f t="shared" si="1"/>
        <v>234</v>
      </c>
      <c r="F44" s="7"/>
      <c r="G44" s="18">
        <f t="shared" si="2"/>
        <v>105.34</v>
      </c>
      <c r="H44" s="37">
        <f t="shared" si="3"/>
        <v>339.34000000000003</v>
      </c>
      <c r="I44" s="23">
        <f t="shared" si="6"/>
        <v>492.04300000000001</v>
      </c>
      <c r="J44" s="23">
        <f t="shared" si="5"/>
        <v>506.80429000000004</v>
      </c>
    </row>
    <row r="45" spans="1:10" x14ac:dyDescent="0.25">
      <c r="A45" s="39" t="s">
        <v>63</v>
      </c>
      <c r="B45" s="24">
        <v>2</v>
      </c>
      <c r="C45" s="52">
        <f>((6*2)/10)*C1</f>
        <v>36</v>
      </c>
      <c r="D45" s="32">
        <f t="shared" si="0"/>
        <v>174</v>
      </c>
      <c r="E45" s="33">
        <f t="shared" si="1"/>
        <v>210</v>
      </c>
      <c r="F45" s="7"/>
      <c r="G45" s="18">
        <f t="shared" si="2"/>
        <v>105.34</v>
      </c>
      <c r="H45" s="37">
        <f t="shared" si="3"/>
        <v>315.34000000000003</v>
      </c>
      <c r="I45" s="23">
        <f t="shared" si="6"/>
        <v>457.24300000000005</v>
      </c>
      <c r="J45" s="23">
        <f t="shared" si="5"/>
        <v>470.96029000000004</v>
      </c>
    </row>
    <row r="46" spans="1:10" x14ac:dyDescent="0.25">
      <c r="A46" s="39" t="s">
        <v>64</v>
      </c>
      <c r="B46" s="24">
        <v>2</v>
      </c>
      <c r="C46" s="52">
        <f>((8*2)/10)*C1</f>
        <v>48</v>
      </c>
      <c r="D46" s="32">
        <f t="shared" si="0"/>
        <v>174</v>
      </c>
      <c r="E46" s="33">
        <f t="shared" si="1"/>
        <v>222</v>
      </c>
      <c r="F46" s="7"/>
      <c r="G46" s="18">
        <f t="shared" si="2"/>
        <v>105.34</v>
      </c>
      <c r="H46" s="37">
        <f t="shared" si="3"/>
        <v>327.34000000000003</v>
      </c>
      <c r="I46" s="23">
        <f t="shared" si="6"/>
        <v>474.64300000000003</v>
      </c>
      <c r="J46" s="23">
        <f t="shared" si="5"/>
        <v>488.88229000000007</v>
      </c>
    </row>
    <row r="47" spans="1:10" x14ac:dyDescent="0.25">
      <c r="A47" s="39" t="s">
        <v>65</v>
      </c>
      <c r="B47" s="24">
        <v>2</v>
      </c>
      <c r="C47" s="52">
        <f>((20*2)/10)*C1</f>
        <v>120</v>
      </c>
      <c r="D47" s="32">
        <f t="shared" si="0"/>
        <v>174</v>
      </c>
      <c r="E47" s="33">
        <f t="shared" si="1"/>
        <v>294</v>
      </c>
      <c r="F47" s="7"/>
      <c r="G47" s="18">
        <f t="shared" si="2"/>
        <v>105.34</v>
      </c>
      <c r="H47" s="37">
        <f t="shared" si="3"/>
        <v>399.34000000000003</v>
      </c>
      <c r="I47" s="23">
        <f t="shared" si="6"/>
        <v>579.04300000000001</v>
      </c>
      <c r="J47" s="23">
        <f t="shared" si="5"/>
        <v>596.41429000000005</v>
      </c>
    </row>
    <row r="48" spans="1:10" x14ac:dyDescent="0.25">
      <c r="A48" s="39" t="s">
        <v>66</v>
      </c>
      <c r="B48" s="24">
        <v>2</v>
      </c>
      <c r="C48" s="52">
        <f>((36*2)/10)*C1</f>
        <v>216</v>
      </c>
      <c r="D48" s="32">
        <f t="shared" si="0"/>
        <v>174</v>
      </c>
      <c r="E48" s="33">
        <f t="shared" si="1"/>
        <v>390</v>
      </c>
      <c r="F48" s="7"/>
      <c r="G48" s="18">
        <f t="shared" si="2"/>
        <v>105.34</v>
      </c>
      <c r="H48" s="37">
        <f t="shared" si="3"/>
        <v>495.34000000000003</v>
      </c>
      <c r="I48" s="23">
        <f t="shared" si="6"/>
        <v>718.24300000000005</v>
      </c>
      <c r="J48" s="23">
        <f t="shared" si="5"/>
        <v>739.79029000000003</v>
      </c>
    </row>
    <row r="49" spans="1:10" x14ac:dyDescent="0.25">
      <c r="A49" s="39" t="s">
        <v>67</v>
      </c>
      <c r="B49" s="26">
        <v>3</v>
      </c>
      <c r="C49" s="52">
        <f>((25*2)/10)*C1</f>
        <v>150</v>
      </c>
      <c r="D49" s="32">
        <f t="shared" si="0"/>
        <v>261</v>
      </c>
      <c r="E49" s="33">
        <f t="shared" si="1"/>
        <v>411</v>
      </c>
      <c r="F49" s="7"/>
      <c r="G49" s="18">
        <f t="shared" si="2"/>
        <v>158.01</v>
      </c>
      <c r="H49" s="37">
        <f t="shared" si="3"/>
        <v>569.01</v>
      </c>
      <c r="I49" s="23">
        <f t="shared" si="6"/>
        <v>825.06449999999995</v>
      </c>
      <c r="J49" s="23">
        <f t="shared" si="5"/>
        <v>849.81643499999996</v>
      </c>
    </row>
    <row r="50" spans="1:10" x14ac:dyDescent="0.25">
      <c r="A50" s="39" t="s">
        <v>69</v>
      </c>
      <c r="B50" s="26">
        <v>2</v>
      </c>
      <c r="C50" s="52">
        <f>((10*2)/10)*C1</f>
        <v>60</v>
      </c>
      <c r="D50" s="25">
        <f t="shared" si="0"/>
        <v>174</v>
      </c>
      <c r="E50" s="27">
        <f t="shared" si="1"/>
        <v>234</v>
      </c>
      <c r="F50" s="7"/>
      <c r="G50" s="18">
        <f t="shared" si="2"/>
        <v>105.34</v>
      </c>
      <c r="H50" s="37">
        <f t="shared" si="3"/>
        <v>339.34000000000003</v>
      </c>
      <c r="I50" s="23">
        <f t="shared" si="6"/>
        <v>492.04300000000001</v>
      </c>
      <c r="J50" s="23">
        <f t="shared" si="5"/>
        <v>506.80429000000004</v>
      </c>
    </row>
    <row r="51" spans="1:10" x14ac:dyDescent="0.25">
      <c r="A51" s="39" t="s">
        <v>70</v>
      </c>
      <c r="B51" s="24">
        <v>2</v>
      </c>
      <c r="C51" s="52">
        <f>((10*2)/10)*$C$1</f>
        <v>60</v>
      </c>
      <c r="D51" s="25">
        <f t="shared" si="0"/>
        <v>174</v>
      </c>
      <c r="E51" s="27">
        <f t="shared" si="1"/>
        <v>234</v>
      </c>
      <c r="F51" s="7"/>
      <c r="G51" s="18">
        <f t="shared" si="2"/>
        <v>105.34</v>
      </c>
      <c r="H51" s="37">
        <f t="shared" si="3"/>
        <v>339.34000000000003</v>
      </c>
      <c r="I51" s="23">
        <f t="shared" si="6"/>
        <v>492.04300000000001</v>
      </c>
      <c r="J51" s="23">
        <f t="shared" si="5"/>
        <v>506.80429000000004</v>
      </c>
    </row>
    <row r="52" spans="1:10" x14ac:dyDescent="0.25">
      <c r="A52" s="39" t="s">
        <v>85</v>
      </c>
      <c r="B52" s="24">
        <v>4</v>
      </c>
      <c r="C52" s="52">
        <f>((8*2)/10)*$C$1</f>
        <v>48</v>
      </c>
      <c r="D52" s="25">
        <f t="shared" si="0"/>
        <v>348</v>
      </c>
      <c r="E52" s="27">
        <f t="shared" si="1"/>
        <v>396</v>
      </c>
      <c r="F52" s="53"/>
      <c r="G52" s="18">
        <f>B52*$G$1</f>
        <v>210.68</v>
      </c>
      <c r="H52" s="37">
        <f t="shared" si="3"/>
        <v>606.68000000000006</v>
      </c>
      <c r="I52" s="23">
        <f t="shared" si="6"/>
        <v>879.68600000000004</v>
      </c>
      <c r="J52" s="23">
        <f t="shared" si="5"/>
        <v>906.07658000000004</v>
      </c>
    </row>
    <row r="53" spans="1:10" x14ac:dyDescent="0.25">
      <c r="A53" s="43"/>
      <c r="G53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LABORATORIO</vt:lpstr>
      <vt:lpstr>MOTORES</vt:lpstr>
      <vt:lpstr>AUTOMATIZACIÓN</vt:lpstr>
      <vt:lpstr>SUMINISTROS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Valdes</dc:creator>
  <cp:lastModifiedBy>Daniel Valdes</cp:lastModifiedBy>
  <cp:lastPrinted>2025-11-22T14:54:20Z</cp:lastPrinted>
  <dcterms:created xsi:type="dcterms:W3CDTF">2025-11-18T23:05:15Z</dcterms:created>
  <dcterms:modified xsi:type="dcterms:W3CDTF">2026-04-07T22:30:32Z</dcterms:modified>
</cp:coreProperties>
</file>