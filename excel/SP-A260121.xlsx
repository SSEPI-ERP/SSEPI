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32b3a7f7071650/Documentos/Proyectos/SSEPI/1 - Levantamientos/Serviacero/Soporte para encoder/"/>
    </mc:Choice>
  </mc:AlternateContent>
  <xr:revisionPtr revIDLastSave="3" documentId="8_{11D59158-2EEB-424C-87D8-4CFDA463315D}" xr6:coauthVersionLast="47" xr6:coauthVersionMax="47" xr10:uidLastSave="{A066F65C-78EE-43CB-BF2C-4B124EC7BCD6}"/>
  <bookViews>
    <workbookView xWindow="28680" yWindow="-120" windowWidth="29040" windowHeight="15720" xr2:uid="{E754E0FB-2EFC-4E87-A324-61FA4648335E}"/>
  </bookViews>
  <sheets>
    <sheet name="Costos" sheetId="2" r:id="rId1"/>
    <sheet name="Materiales" sheetId="3" r:id="rId2"/>
    <sheet name="Cotizacion" sheetId="4" r:id="rId3"/>
  </sheets>
  <calcPr calcId="191029"/>
  <customWorkbookViews>
    <customWorkbookView name="COTIZACION" guid="{B467761B-9E33-4ABB-8F30-EE7896AAF428}" maximized="1" xWindow="-8" yWindow="-8" windowWidth="1936" windowHeight="1048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4" l="1"/>
  <c r="B25" i="4"/>
  <c r="B26" i="4"/>
  <c r="B27" i="4"/>
  <c r="B28" i="4"/>
  <c r="B29" i="4"/>
  <c r="B30" i="4"/>
  <c r="B31" i="4"/>
  <c r="B19" i="4"/>
  <c r="B20" i="4"/>
  <c r="B21" i="4"/>
  <c r="B22" i="4"/>
  <c r="B23" i="4"/>
  <c r="A31" i="4"/>
  <c r="A29" i="4"/>
  <c r="A30" i="4"/>
  <c r="A27" i="4"/>
  <c r="A28" i="4"/>
  <c r="A26" i="4"/>
  <c r="A25" i="4"/>
  <c r="A19" i="4"/>
  <c r="A20" i="4"/>
  <c r="A21" i="4"/>
  <c r="A22" i="4"/>
  <c r="A23" i="4"/>
  <c r="A24" i="4"/>
  <c r="B15" i="4"/>
  <c r="H21" i="3"/>
  <c r="H14" i="3"/>
  <c r="H15" i="3"/>
  <c r="H16" i="3"/>
  <c r="H17" i="3"/>
  <c r="H18" i="3"/>
  <c r="H19" i="3"/>
  <c r="H20" i="3"/>
  <c r="H22" i="3"/>
  <c r="H23" i="3"/>
  <c r="H13" i="3"/>
  <c r="H12" i="3"/>
  <c r="H11" i="3"/>
  <c r="H10" i="3"/>
  <c r="H9" i="3"/>
  <c r="H8" i="3"/>
  <c r="H7" i="3"/>
  <c r="H6" i="3"/>
  <c r="H5" i="3"/>
  <c r="I11" i="3"/>
  <c r="B18" i="4" l="1"/>
  <c r="L6" i="4" l="1"/>
  <c r="M10" i="4"/>
  <c r="M8" i="4"/>
  <c r="M7" i="4"/>
  <c r="E17" i="2" l="1"/>
  <c r="A18" i="4"/>
  <c r="G61" i="2"/>
  <c r="D61" i="2"/>
  <c r="E61" i="2" s="1"/>
  <c r="H61" i="2" s="1"/>
  <c r="G60" i="2"/>
  <c r="D60" i="2"/>
  <c r="E60" i="2" s="1"/>
  <c r="H60" i="2" s="1"/>
  <c r="G59" i="2"/>
  <c r="D59" i="2"/>
  <c r="E59" i="2" s="1"/>
  <c r="H59" i="2" s="1"/>
  <c r="G58" i="2"/>
  <c r="D58" i="2"/>
  <c r="E58" i="2" s="1"/>
  <c r="H58" i="2" s="1"/>
  <c r="G57" i="2"/>
  <c r="D57" i="2"/>
  <c r="E57" i="2" s="1"/>
  <c r="H57" i="2" s="1"/>
  <c r="G56" i="2"/>
  <c r="D56" i="2"/>
  <c r="E56" i="2" s="1"/>
  <c r="H56" i="2" s="1"/>
  <c r="G55" i="2"/>
  <c r="D55" i="2"/>
  <c r="E55" i="2" s="1"/>
  <c r="H55" i="2" s="1"/>
  <c r="G54" i="2"/>
  <c r="D54" i="2"/>
  <c r="E54" i="2" s="1"/>
  <c r="H54" i="2" s="1"/>
  <c r="G53" i="2"/>
  <c r="D53" i="2"/>
  <c r="E53" i="2" s="1"/>
  <c r="H53" i="2" s="1"/>
  <c r="G52" i="2"/>
  <c r="D52" i="2"/>
  <c r="E52" i="2" s="1"/>
  <c r="H52" i="2" s="1"/>
  <c r="G51" i="2"/>
  <c r="D51" i="2"/>
  <c r="E51" i="2" s="1"/>
  <c r="H51" i="2" s="1"/>
  <c r="G50" i="2"/>
  <c r="D50" i="2"/>
  <c r="E50" i="2" s="1"/>
  <c r="H50" i="2" s="1"/>
  <c r="G49" i="2"/>
  <c r="D49" i="2"/>
  <c r="E49" i="2" s="1"/>
  <c r="H49" i="2" s="1"/>
  <c r="G48" i="2"/>
  <c r="D48" i="2"/>
  <c r="E48" i="2" s="1"/>
  <c r="H48" i="2" s="1"/>
  <c r="G47" i="2"/>
  <c r="D47" i="2"/>
  <c r="E47" i="2" s="1"/>
  <c r="H47" i="2" s="1"/>
  <c r="G46" i="2"/>
  <c r="D46" i="2"/>
  <c r="E46" i="2" s="1"/>
  <c r="H46" i="2" s="1"/>
  <c r="G45" i="2"/>
  <c r="D45" i="2"/>
  <c r="E45" i="2" s="1"/>
  <c r="H45" i="2" s="1"/>
  <c r="G44" i="2"/>
  <c r="D44" i="2"/>
  <c r="E44" i="2" s="1"/>
  <c r="H44" i="2" s="1"/>
  <c r="G43" i="2"/>
  <c r="D43" i="2"/>
  <c r="E43" i="2" s="1"/>
  <c r="H43" i="2" s="1"/>
  <c r="G42" i="2"/>
  <c r="D42" i="2"/>
  <c r="E42" i="2" s="1"/>
  <c r="H42" i="2" s="1"/>
  <c r="G41" i="2"/>
  <c r="D41" i="2"/>
  <c r="E41" i="2" s="1"/>
  <c r="H41" i="2" s="1"/>
  <c r="G40" i="2"/>
  <c r="D40" i="2"/>
  <c r="E40" i="2" s="1"/>
  <c r="H40" i="2" s="1"/>
  <c r="G39" i="2"/>
  <c r="D39" i="2"/>
  <c r="E39" i="2" s="1"/>
  <c r="H39" i="2" s="1"/>
  <c r="G38" i="2"/>
  <c r="D38" i="2"/>
  <c r="E38" i="2" s="1"/>
  <c r="H38" i="2" s="1"/>
  <c r="G37" i="2"/>
  <c r="D37" i="2"/>
  <c r="E37" i="2" s="1"/>
  <c r="H37" i="2" s="1"/>
  <c r="G36" i="2"/>
  <c r="D36" i="2"/>
  <c r="E36" i="2" s="1"/>
  <c r="H36" i="2" s="1"/>
  <c r="G35" i="2"/>
  <c r="D35" i="2"/>
  <c r="E35" i="2" s="1"/>
  <c r="H35" i="2" s="1"/>
  <c r="G34" i="2"/>
  <c r="D34" i="2"/>
  <c r="E34" i="2" s="1"/>
  <c r="H34" i="2" s="1"/>
  <c r="G33" i="2"/>
  <c r="D33" i="2"/>
  <c r="E33" i="2" s="1"/>
  <c r="H33" i="2" s="1"/>
  <c r="G32" i="2"/>
  <c r="D32" i="2"/>
  <c r="E32" i="2" s="1"/>
  <c r="H32" i="2" s="1"/>
  <c r="G31" i="2"/>
  <c r="D31" i="2"/>
  <c r="E31" i="2" s="1"/>
  <c r="H31" i="2" s="1"/>
  <c r="G30" i="2"/>
  <c r="D30" i="2"/>
  <c r="E30" i="2" s="1"/>
  <c r="H30" i="2" s="1"/>
  <c r="E21" i="2"/>
  <c r="H21" i="2" s="1"/>
  <c r="G20" i="2"/>
  <c r="G16" i="2"/>
  <c r="E16" i="2"/>
  <c r="H16" i="2" s="1"/>
  <c r="G11" i="2"/>
  <c r="E11" i="2"/>
  <c r="H11" i="2" s="1"/>
  <c r="B4" i="2"/>
  <c r="B3" i="2"/>
  <c r="E20" i="2" s="1"/>
  <c r="H20" i="2" s="1"/>
  <c r="G17" i="2" l="1"/>
  <c r="E22" i="2"/>
  <c r="H22" i="2" s="1"/>
  <c r="E13" i="2"/>
  <c r="H13" i="2" s="1"/>
  <c r="G22" i="2"/>
  <c r="G13" i="2"/>
  <c r="E18" i="2"/>
  <c r="H18" i="2" s="1"/>
  <c r="E9" i="2"/>
  <c r="H9" i="2" s="1"/>
  <c r="E14" i="2"/>
  <c r="H14" i="2" s="1"/>
  <c r="G9" i="2"/>
  <c r="G14" i="2"/>
  <c r="E19" i="2"/>
  <c r="H19" i="2" s="1"/>
  <c r="E24" i="2"/>
  <c r="H24" i="2" s="1"/>
  <c r="E12" i="2"/>
  <c r="H12" i="2" s="1"/>
  <c r="G21" i="2"/>
  <c r="H17" i="2"/>
  <c r="E8" i="2"/>
  <c r="H8" i="2" s="1"/>
  <c r="G18" i="2"/>
  <c r="G10" i="2"/>
  <c r="G12" i="2"/>
  <c r="G8" i="2"/>
  <c r="E23" i="2"/>
  <c r="H23" i="2" s="1"/>
  <c r="G23" i="2"/>
  <c r="G19" i="2"/>
  <c r="G24" i="2"/>
  <c r="E10" i="2"/>
  <c r="H10" i="2" s="1"/>
  <c r="E15" i="2"/>
  <c r="H15" i="2" s="1"/>
  <c r="G15" i="2"/>
  <c r="G25" i="2" l="1"/>
  <c r="H25" i="2"/>
  <c r="L16" i="2" s="1"/>
  <c r="L18" i="2" s="1"/>
  <c r="L19" i="2" s="1"/>
  <c r="G33" i="4" s="1"/>
  <c r="H33" i="4" s="1"/>
  <c r="B16" i="4" l="1"/>
  <c r="B17" i="4"/>
  <c r="A16" i="4"/>
  <c r="A17" i="4"/>
  <c r="A15" i="4"/>
  <c r="I6" i="3"/>
  <c r="I7" i="3"/>
  <c r="I8" i="3"/>
  <c r="I9" i="3"/>
  <c r="I10" i="3"/>
  <c r="I12" i="3"/>
  <c r="I13" i="3"/>
  <c r="I14" i="3"/>
  <c r="O6" i="4"/>
  <c r="I18" i="3"/>
  <c r="I19" i="3"/>
  <c r="I20" i="3"/>
  <c r="I21" i="3"/>
  <c r="I22" i="3"/>
  <c r="I23" i="3"/>
  <c r="I24" i="3"/>
  <c r="G6" i="4"/>
  <c r="I17" i="3"/>
  <c r="I16" i="3"/>
  <c r="I15" i="3"/>
  <c r="I5" i="3" l="1"/>
  <c r="I25" i="3" s="1"/>
  <c r="G14" i="4" s="1"/>
  <c r="H14" i="4" s="1"/>
  <c r="H25" i="3"/>
  <c r="H37" i="4" l="1"/>
  <c r="H38" i="4" s="1"/>
  <c r="H41" i="4" l="1"/>
</calcChain>
</file>

<file path=xl/sharedStrings.xml><?xml version="1.0" encoding="utf-8"?>
<sst xmlns="http://schemas.openxmlformats.org/spreadsheetml/2006/main" count="208" uniqueCount="182">
  <si>
    <t>Área</t>
  </si>
  <si>
    <t>Servicio</t>
  </si>
  <si>
    <t>Unidad</t>
  </si>
  <si>
    <t>Eléctrica</t>
  </si>
  <si>
    <t>Diseño de tablero eléctrico BT</t>
  </si>
  <si>
    <t>Fabricación e instalación de tablero BT</t>
  </si>
  <si>
    <t>Instalación de cableado/sensores</t>
  </si>
  <si>
    <t>por hora</t>
  </si>
  <si>
    <t>Control</t>
  </si>
  <si>
    <t>Diseño mecánico</t>
  </si>
  <si>
    <t>Modelado 3D de herramental</t>
  </si>
  <si>
    <t>por modelo</t>
  </si>
  <si>
    <t>Creación de interfaz HMI</t>
  </si>
  <si>
    <t xml:space="preserve">por hora </t>
  </si>
  <si>
    <t xml:space="preserve">Costo por hora </t>
  </si>
  <si>
    <t xml:space="preserve">Horas </t>
  </si>
  <si>
    <t>Sueldo Base Mensual</t>
  </si>
  <si>
    <t xml:space="preserve">Jornada </t>
  </si>
  <si>
    <t>Programación de variadores de velocidad (VFD)</t>
  </si>
  <si>
    <t>Configuración de servomotores y sistemas de posicionamiento</t>
  </si>
  <si>
    <t>Diseño e ingeniería</t>
  </si>
  <si>
    <t>Selección de equipos de control y comunicación</t>
  </si>
  <si>
    <t xml:space="preserve">Diseño de arquitectura de control, redes, estacones </t>
  </si>
  <si>
    <t>Lectura y validación de códigos QR, Datamatrix, OCR, etc</t>
  </si>
  <si>
    <t>Trazabilidad y registro de producción</t>
  </si>
  <si>
    <t xml:space="preserve">Siatemas de visión </t>
  </si>
  <si>
    <t>Diagnóstico de fallas en sistemas de automatización</t>
  </si>
  <si>
    <t>Optimización de tiempos de ciclo, velocidades y eficiencia</t>
  </si>
  <si>
    <t>Respaldo, control de versiones y documentación de programas</t>
  </si>
  <si>
    <t>Capacitación a personal operativo y técnico</t>
  </si>
  <si>
    <t xml:space="preserve">Soporte </t>
  </si>
  <si>
    <t xml:space="preserve">Integración de cámaras industriales, sensores de visión </t>
  </si>
  <si>
    <t xml:space="preserve">Valor agregado </t>
  </si>
  <si>
    <t>Costo SSEPI</t>
  </si>
  <si>
    <t>Renta</t>
  </si>
  <si>
    <t>Luz</t>
  </si>
  <si>
    <t>Agua</t>
  </si>
  <si>
    <t>Internet</t>
  </si>
  <si>
    <t>Costo VA</t>
  </si>
  <si>
    <t>Item</t>
  </si>
  <si>
    <t xml:space="preserve">Cantidad </t>
  </si>
  <si>
    <t>Modelo</t>
  </si>
  <si>
    <t xml:space="preserve">Descripcion </t>
  </si>
  <si>
    <t>C/U</t>
  </si>
  <si>
    <t xml:space="preserve">Link </t>
  </si>
  <si>
    <t xml:space="preserve">Tiempo de Entrega </t>
  </si>
  <si>
    <t xml:space="preserve">Importe </t>
  </si>
  <si>
    <t xml:space="preserve">Total </t>
  </si>
  <si>
    <t>DIRECCIÓN:</t>
  </si>
  <si>
    <t>CORREO:</t>
  </si>
  <si>
    <t>CANT.</t>
  </si>
  <si>
    <t>DESCRIPCIÓN</t>
  </si>
  <si>
    <t>IMPORTE</t>
  </si>
  <si>
    <t>POLITICAS:</t>
  </si>
  <si>
    <t>SUBTOTAL</t>
  </si>
  <si>
    <t>IVA 16%</t>
  </si>
  <si>
    <t>TOTAL</t>
  </si>
  <si>
    <t>NOTAS IMPORTANTES:</t>
  </si>
  <si>
    <t>477 737 3118</t>
  </si>
  <si>
    <t>CLIENTE:</t>
  </si>
  <si>
    <t>CONTACTO:</t>
  </si>
  <si>
    <t>TELEFONO:</t>
  </si>
  <si>
    <t xml:space="preserve">             </t>
  </si>
  <si>
    <t>ventas@ssepi.org</t>
  </si>
  <si>
    <t xml:space="preserve">Suministro de Material </t>
  </si>
  <si>
    <t>Subtotal:</t>
  </si>
  <si>
    <t>Total:</t>
  </si>
  <si>
    <t xml:space="preserve">Credito </t>
  </si>
  <si>
    <t xml:space="preserve">Mora </t>
  </si>
  <si>
    <t>Ganacia %</t>
  </si>
  <si>
    <t>Precios SSEPI</t>
  </si>
  <si>
    <t>Archivos Adjuntos:</t>
  </si>
  <si>
    <t xml:space="preserve">  Ing. Daniel Zuñiga</t>
  </si>
  <si>
    <t xml:space="preserve"> </t>
  </si>
  <si>
    <t>Para Mayor Información, consulte losterminos y condiciones en: https://www.ssepi.org/terms</t>
  </si>
  <si>
    <t xml:space="preserve">3 - 4 dias </t>
  </si>
  <si>
    <t>3 - 4 dias</t>
  </si>
  <si>
    <t xml:space="preserve">Gastos fijos Dia </t>
  </si>
  <si>
    <t>Gasolina</t>
  </si>
  <si>
    <t>Hra Ventas</t>
  </si>
  <si>
    <t xml:space="preserve">Camioneta </t>
  </si>
  <si>
    <t xml:space="preserve">Dias estimados </t>
  </si>
  <si>
    <t xml:space="preserve">Programación de rutinas en PLC </t>
  </si>
  <si>
    <t xml:space="preserve">Traslados </t>
  </si>
  <si>
    <t xml:space="preserve">Viaticos </t>
  </si>
  <si>
    <t xml:space="preserve">Hospeddaje </t>
  </si>
  <si>
    <t>Costos Automatización</t>
  </si>
  <si>
    <t>Subtotal</t>
  </si>
  <si>
    <t>Total</t>
  </si>
  <si>
    <t>GASTOS VENTAS</t>
  </si>
  <si>
    <t xml:space="preserve">EMPRESA </t>
  </si>
  <si>
    <t>KM</t>
  </si>
  <si>
    <t>Litos De cosnumo</t>
  </si>
  <si>
    <t>COSTO GASOLINA</t>
  </si>
  <si>
    <t xml:space="preserve">Hras </t>
  </si>
  <si>
    <t>Costo Ventas</t>
  </si>
  <si>
    <t xml:space="preserve">Costo Total </t>
  </si>
  <si>
    <t xml:space="preserve">BOLSAS DE LOS ALTOS </t>
  </si>
  <si>
    <t>ANGUIPALST</t>
  </si>
  <si>
    <t>ECOBOLSAS</t>
  </si>
  <si>
    <t>BADER TABACHINES</t>
  </si>
  <si>
    <t>BODYCOTE</t>
  </si>
  <si>
    <t>COFICAB</t>
  </si>
  <si>
    <t>CONDUMEX</t>
  </si>
  <si>
    <t>ECSA</t>
  </si>
  <si>
    <t>EMMSA</t>
  </si>
  <si>
    <t>EPC 1</t>
  </si>
  <si>
    <t>EPC 2</t>
  </si>
  <si>
    <t>FRAENKISCHE</t>
  </si>
  <si>
    <t>GEDNEY</t>
  </si>
  <si>
    <t>GRUPO ACERERO</t>
  </si>
  <si>
    <t>HALL PLANTA 1</t>
  </si>
  <si>
    <t>HIRUTA PLANTA 1</t>
  </si>
  <si>
    <t>IK PLASTIC</t>
  </si>
  <si>
    <t>IMPRENTA JM</t>
  </si>
  <si>
    <t>JARDÍN LA ALEMANA</t>
  </si>
  <si>
    <t>MAFLOW</t>
  </si>
  <si>
    <t>MARQUARDT</t>
  </si>
  <si>
    <t>MICROONDA</t>
  </si>
  <si>
    <t>MR LUCKY</t>
  </si>
  <si>
    <t>NHK</t>
  </si>
  <si>
    <t>NISHIKAWA</t>
  </si>
  <si>
    <t>PIELES AZTECA</t>
  </si>
  <si>
    <t>RONGTAI</t>
  </si>
  <si>
    <t>SAFE DEMO</t>
  </si>
  <si>
    <t>SERVIACERO ELECTROFORJADOS</t>
  </si>
  <si>
    <t>SUACERO</t>
  </si>
  <si>
    <t>TQ-1</t>
  </si>
  <si>
    <t>MINO INDUSTRY</t>
  </si>
  <si>
    <t>Costos Dany</t>
  </si>
  <si>
    <t xml:space="preserve">3-4 días </t>
  </si>
  <si>
    <t xml:space="preserve">Actividades a Realizar </t>
  </si>
  <si>
    <t xml:space="preserve">Diseño, fabricación y ensablado de soporte  para encoder E500-3-T-24 AUTONICS </t>
  </si>
  <si>
    <t>Serviacero Comercial</t>
  </si>
  <si>
    <t>Cto. Oleoducto 212, Ciudad Industrial, 37490 León de los Aldama, Gto.</t>
  </si>
  <si>
    <t xml:space="preserve">Ing. Alejandro Bocanegra  </t>
  </si>
  <si>
    <t>FOLIO: SP-A260121</t>
  </si>
  <si>
    <t>https://articulo.mercadolibre.com.mx/MLM-1393795990-soporte-encoder-medidor-distancia-encoder-20mm-plc-arduino-_JM#intervention_type=full&amp;position=2&amp;search_layout=grid&amp;type=cart_intervention&amp;tracking_id=71ce98cf-33b2-4d6d-a7d7-1a7511312ac2</t>
  </si>
  <si>
    <t>https://www.amazon.com.mx/Luejnbogty-medici%C3%B3n-industrial-codificador-accesorios/dp/B0F12DBXWQ/ref=sr_1_1?__mk_es_MX=%C3%85M%C3%85%C5%BD%C3%95%C3%91&amp;crid=1CR5QPDETNF4Z&amp;dib=eyJ2IjoiMSJ9.kGPoBSkjoGUtn9CBqV5bxPOtlLhbIqk_yar3iIkmP5UcIO5Tu7kC_ycdi4_sXBCn3KMynVQGpQODhhedu-Y-BNy5YJi_DJpAEEVY6MAdBQvpP4jXCn8LtzZgtd3JTDalZnZ4xyc2Ro0ZTtI6b9yxZApRS_LehxFGg4g93g7Qqez-Wi0huYJqTGrYy5EfqdsUCOJ2NfCA7UK3VbyzNPHND7ohiyDsQHqMjO6M01ux1PE.UeyFOxMECi2HzalIj1__U3rKabuRhFW_8xVRooxqLqU&amp;dib_tag=se&amp;keywords=Encoder%2Bde%2Bmedici%C3%B3n%2Bde%2Bgoma%2Bde%2Baluminio%2Bindustrial%2Bde%2B360%2Bmm%2Bx%2B8%2Bmm%2Bx%2B15%2Bmm&amp;qid=1768341890&amp;s=tools&amp;sprefix=encoder%2Bde%2Bmedici%C3%B3n%2Bde%2Bgoma%2Bde%2Baluminio%2Bindustrial%2Bde%2B360%2Bmm%2Bx%2B8%2Bmm%2Bx%2B15%2Bmm%2Chi%2C159&amp;sr=1-1&amp;ufe=app_do%3Aamzn1.fos.de93fa6a-174c-4df7-be7c-5bc8e9c5a71b&amp;th=1</t>
  </si>
  <si>
    <t>https://www.amazon.com.mx/montaje-perfiles-extrusi%C3%B3n-aluminio-calibre/dp/B0BJZW9H1J</t>
  </si>
  <si>
    <t>https://craftqube.mx/products/escuadra-45x45-bosch-rexroth</t>
  </si>
  <si>
    <t>https://articulo.mercadolibre.com.mx/MLM-769941921-escuadra-esquina-para-perfil-de-aluminio-estructural-4545-_JM?matt_tool=28238160&amp;utm_source=google_shopping&amp;utm_medium=organic</t>
  </si>
  <si>
    <r>
      <t xml:space="preserve">Condiciones de pago: </t>
    </r>
    <r>
      <rPr>
        <b/>
        <sz val="9"/>
        <color rgb="FF000000"/>
        <rFont val="Arial"/>
        <family val="2"/>
      </rPr>
      <t>50% de anticipo, 50% al terminar el trabajo</t>
    </r>
  </si>
  <si>
    <r>
      <t xml:space="preserve">Vigencia: </t>
    </r>
    <r>
      <rPr>
        <b/>
        <sz val="9"/>
        <color theme="1"/>
        <rFont val="Arial"/>
        <family val="2"/>
      </rPr>
      <t>05 DÍAS HÁBILES.</t>
    </r>
  </si>
  <si>
    <r>
      <t>Precio en</t>
    </r>
    <r>
      <rPr>
        <b/>
        <sz val="9"/>
        <color theme="1"/>
        <rFont val="Arial"/>
        <family val="2"/>
      </rPr>
      <t xml:space="preserve"> MONEDA NACIONAL.</t>
    </r>
  </si>
  <si>
    <r>
      <t xml:space="preserve">Se requiere </t>
    </r>
    <r>
      <rPr>
        <b/>
        <sz val="9"/>
        <color theme="1"/>
        <rFont val="Arial"/>
        <family val="2"/>
      </rPr>
      <t xml:space="preserve">ÓRDEN DE COMPRA </t>
    </r>
    <r>
      <rPr>
        <sz val="9"/>
        <color theme="1"/>
        <rFont val="Arial"/>
        <family val="2"/>
      </rPr>
      <t>para iniciar el servicio.</t>
    </r>
  </si>
  <si>
    <r>
      <t xml:space="preserve">Después de confirmado el servicio </t>
    </r>
    <r>
      <rPr>
        <b/>
        <sz val="9"/>
        <color theme="1"/>
        <rFont val="Arial"/>
        <family val="2"/>
      </rPr>
      <t>NO SE ACEPTAN CANCELACIONES.</t>
    </r>
  </si>
  <si>
    <t>Tubo Conduit 1/2" pared delgada (1 mm), et. verde, 3 m</t>
  </si>
  <si>
    <t>Riel unicanal</t>
  </si>
  <si>
    <t>Abrazaderas unicanal</t>
  </si>
  <si>
    <t xml:space="preserve">Escuadras para perfil de aluminio 45 x45 </t>
  </si>
  <si>
    <t xml:space="preserve">Barrenanclas 3/8" </t>
  </si>
  <si>
    <t xml:space="preserve">Tornilleria para fijacion y ensamble </t>
  </si>
  <si>
    <t xml:space="preserve">SSoporte, perfil de aluminio  45x45mm  para base de encoder  </t>
  </si>
  <si>
    <t xml:space="preserve">Rueda de medida de encoder </t>
  </si>
  <si>
    <t>Base de con resorte para encoder de medida</t>
  </si>
  <si>
    <t>Codos etiqueta verde de 1/2"</t>
  </si>
  <si>
    <t>Cople Tipo Americano Pared Delgada 1/2 "</t>
  </si>
  <si>
    <t xml:space="preserve">Conector Conduit  1/2" </t>
  </si>
  <si>
    <t>Caja De Registro Estanca IP55 8x8x4.5</t>
  </si>
  <si>
    <t xml:space="preserve">Metros cable control 5 x 20 awg 0.50mm2 </t>
  </si>
  <si>
    <t>https://www.fixferreterias.com/tubo-conduit-1-2-galvanizado-3-m-pared-delgada-et-verde.html</t>
  </si>
  <si>
    <t>https://www.mercadolibre.com.mx/5-pzs-codo-ptubo-electrico-conduit-12-pared-delgada-argos/up/MLMU3220826280#polycard_client=search-desktop&amp;search_layout=grid&amp;position=6&amp;type=product&amp;tracking_id=323369b6-ca59-4db1-a301-2bed088fad1e&amp;wid=MLM2330687131&amp;sid=search</t>
  </si>
  <si>
    <t>https://www.mercadolibre.com.mx/10-pzs-cople-tipo-americano-pared-delgada-12-pulgada-argos/up/MLMU3221255460#polycard_client=search-desktop&amp;search_layout=grid&amp;position=5&amp;type=product&amp;tracking_id=8e838bd8-220b-48bb-86e7-74d7d2d8f1e0&amp;wid=MLM2330919125&amp;sid=search</t>
  </si>
  <si>
    <t>https://articulo.mercadolibre.com.mx/MLM-3261640688-conector-conduit-pared-delgada-acero-galvanizado-12-5-pzas-_JM#polycard_client=search-desktop&amp;search_layout=grid&amp;position=12&amp;type=item&amp;tracking_id=dbbea721-7382-4a75-937a-5cb86d5b408f&amp;wid=MLM3261640688&amp;sid=search</t>
  </si>
  <si>
    <t>https://www.mercadolibre.com.mx/caja-de-registro-estanca-ip55-8x8x45-sin-conos/up/MLMU983580995#polycard_client=search-desktop&amp;search_layout=grid&amp;position=31&amp;type=product&amp;tracking_id=c04a1414-b3f3-4917-9914-aeaf7e5e5abe&amp;wid=MLM725921615&amp;sid=search</t>
  </si>
  <si>
    <t>https://dimeint.com/products/arco5x20</t>
  </si>
  <si>
    <t>https://www.elektron.com.mx/perfil-unicanal-solido-4-x-2-calibre-16-use-4x2-omega</t>
  </si>
  <si>
    <t>https://www.elektron.com.mx/abrazadera-unicanal-1-2-para-conduit-pared-delgada-aw-12-anclo</t>
  </si>
  <si>
    <t>https://eltornillo.com.mx/tienda-en-linea/catalogo/taquetes/taquete-arpon-galvanizado-1%2F4x2_1%2F4?gad_source=1&amp;gad_campaignid=21686270870&amp;gbraid=0AAAAADsHgckfzLBgZqtF2UWg0tSxne_Eq</t>
  </si>
  <si>
    <t>https://articulo.mercadolibre.com.mx/MLM-4253948562-10-piezas-conector-rapido-cableado-electrico-28-12-awg-1-via-_JM#polycard_client=search-desktop&amp;search_layout=grid&amp;position=2&amp;type=item&amp;tracking_id=d8e4ec02-3de4-4fe4-99b5-87802ee8790e&amp;wid=MLM4253948562&amp;sid=search</t>
  </si>
  <si>
    <t>3-4 dias</t>
  </si>
  <si>
    <t xml:space="preserve">6 dias </t>
  </si>
  <si>
    <t>5 dias</t>
  </si>
  <si>
    <t>4 dias</t>
  </si>
  <si>
    <t xml:space="preserve">2 dias </t>
  </si>
  <si>
    <t>Cople etiqueta amarilla 1/2"</t>
  </si>
  <si>
    <t>Conector Rapido Cableado Electrico 28-12 Awg 1 Via</t>
  </si>
  <si>
    <t>Taquete arpon  1/4X2-1/4</t>
  </si>
  <si>
    <t xml:space="preserve">Tiempo de entrega de material 5-6 Días Hábiles. Montaje 4 Horas en planta </t>
  </si>
  <si>
    <t>Montaje de soporte en planta</t>
  </si>
  <si>
    <t xml:space="preserve">Instlación de tuberia y ruteo de cable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</si>
</sst>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Calibri"/>
      <family val="2"/>
      <scheme val="minor"/>
    </font>
    <font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rgb="FFCCCCCC"/>
      </bottom>
      <diagonal/>
    </border>
    <border>
      <left/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/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rgb="FFCCCCCC"/>
      </bottom>
      <diagonal/>
    </border>
    <border>
      <left/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194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0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2" xfId="0" applyBorder="1"/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0" fillId="0" borderId="20" xfId="0" applyBorder="1" applyAlignment="1">
      <alignment horizontal="left" vertical="top" wrapText="1"/>
    </xf>
    <xf numFmtId="0" fontId="0" fillId="0" borderId="20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2" borderId="26" xfId="0" applyFont="1" applyFill="1" applyBorder="1"/>
    <xf numFmtId="0" fontId="0" fillId="0" borderId="22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7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/>
    </xf>
    <xf numFmtId="0" fontId="5" fillId="0" borderId="1" xfId="1" applyBorder="1" applyAlignment="1">
      <alignment horizontal="center" vertical="center" wrapText="1"/>
    </xf>
    <xf numFmtId="4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5" fillId="0" borderId="1" xfId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wrapText="1"/>
    </xf>
    <xf numFmtId="0" fontId="6" fillId="0" borderId="1" xfId="0" applyFont="1" applyBorder="1"/>
    <xf numFmtId="44" fontId="7" fillId="0" borderId="1" xfId="0" applyNumberFormat="1" applyFont="1" applyBorder="1"/>
    <xf numFmtId="0" fontId="0" fillId="0" borderId="50" xfId="0" applyBorder="1"/>
    <xf numFmtId="0" fontId="0" fillId="0" borderId="51" xfId="0" applyBorder="1" applyAlignment="1">
      <alignment horizontal="center" vertical="center"/>
    </xf>
    <xf numFmtId="44" fontId="0" fillId="0" borderId="0" xfId="0" applyNumberFormat="1"/>
    <xf numFmtId="0" fontId="2" fillId="2" borderId="0" xfId="0" applyFont="1" applyFill="1"/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center" vertical="center" wrapText="1"/>
    </xf>
    <xf numFmtId="0" fontId="0" fillId="0" borderId="64" xfId="0" applyBorder="1" applyAlignment="1">
      <alignment vertical="center" wrapText="1"/>
    </xf>
    <xf numFmtId="0" fontId="0" fillId="0" borderId="64" xfId="0" applyBorder="1"/>
    <xf numFmtId="0" fontId="0" fillId="0" borderId="64" xfId="0" applyBorder="1" applyAlignment="1">
      <alignment horizontal="center" vertical="center"/>
    </xf>
    <xf numFmtId="0" fontId="0" fillId="0" borderId="65" xfId="0" applyBorder="1"/>
    <xf numFmtId="0" fontId="0" fillId="0" borderId="66" xfId="0" applyBorder="1" applyAlignment="1">
      <alignment horizontal="center" vertical="center"/>
    </xf>
    <xf numFmtId="0" fontId="10" fillId="2" borderId="0" xfId="0" applyFont="1" applyFill="1"/>
    <xf numFmtId="0" fontId="11" fillId="2" borderId="0" xfId="0" applyFont="1" applyFill="1"/>
    <xf numFmtId="0" fontId="0" fillId="0" borderId="2" xfId="0" applyBorder="1" applyAlignment="1">
      <alignment vertical="center" wrapText="1"/>
    </xf>
    <xf numFmtId="0" fontId="0" fillId="0" borderId="2" xfId="0" applyBorder="1"/>
    <xf numFmtId="0" fontId="4" fillId="0" borderId="68" xfId="0" applyFont="1" applyBorder="1"/>
    <xf numFmtId="0" fontId="8" fillId="0" borderId="68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12" fillId="0" borderId="0" xfId="0" applyFont="1" applyAlignment="1">
      <alignment vertical="center"/>
    </xf>
    <xf numFmtId="0" fontId="0" fillId="0" borderId="6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64" xfId="0" applyBorder="1" applyAlignment="1">
      <alignment horizontal="center"/>
    </xf>
    <xf numFmtId="44" fontId="13" fillId="0" borderId="64" xfId="2" applyFont="1" applyFill="1" applyBorder="1" applyAlignment="1">
      <alignment horizontal="center"/>
    </xf>
    <xf numFmtId="44" fontId="0" fillId="0" borderId="64" xfId="2" applyFont="1" applyFill="1" applyBorder="1"/>
    <xf numFmtId="0" fontId="0" fillId="0" borderId="1" xfId="0" applyBorder="1" applyAlignment="1">
      <alignment horizontal="center"/>
    </xf>
    <xf numFmtId="44" fontId="13" fillId="0" borderId="1" xfId="2" applyFont="1" applyFill="1" applyBorder="1" applyAlignment="1">
      <alignment horizontal="center"/>
    </xf>
    <xf numFmtId="44" fontId="0" fillId="0" borderId="1" xfId="2" applyFont="1" applyFill="1" applyBorder="1"/>
    <xf numFmtId="0" fontId="0" fillId="0" borderId="70" xfId="0" applyBorder="1"/>
    <xf numFmtId="0" fontId="0" fillId="0" borderId="70" xfId="0" applyBorder="1" applyAlignment="1">
      <alignment horizontal="center"/>
    </xf>
    <xf numFmtId="0" fontId="0" fillId="0" borderId="34" xfId="0" applyBorder="1"/>
    <xf numFmtId="0" fontId="0" fillId="0" borderId="38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14" fillId="0" borderId="0" xfId="0" applyFont="1"/>
    <xf numFmtId="0" fontId="14" fillId="0" borderId="36" xfId="0" applyFont="1" applyBorder="1"/>
    <xf numFmtId="0" fontId="14" fillId="0" borderId="26" xfId="0" applyFont="1" applyBorder="1"/>
    <xf numFmtId="0" fontId="16" fillId="4" borderId="36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wrapText="1"/>
    </xf>
    <xf numFmtId="0" fontId="16" fillId="6" borderId="37" xfId="0" applyFont="1" applyFill="1" applyBorder="1" applyAlignment="1">
      <alignment horizontal="center" wrapText="1"/>
    </xf>
    <xf numFmtId="0" fontId="0" fillId="0" borderId="36" xfId="0" applyBorder="1" applyAlignment="1">
      <alignment vertical="center"/>
    </xf>
    <xf numFmtId="0" fontId="0" fillId="0" borderId="36" xfId="0" applyBorder="1" applyAlignment="1">
      <alignment horizontal="center" vertical="center"/>
    </xf>
    <xf numFmtId="44" fontId="0" fillId="0" borderId="0" xfId="0" applyNumberFormat="1" applyAlignment="1">
      <alignment vertical="center"/>
    </xf>
    <xf numFmtId="44" fontId="0" fillId="0" borderId="37" xfId="0" applyNumberFormat="1" applyBorder="1" applyAlignment="1">
      <alignment vertical="center"/>
    </xf>
    <xf numFmtId="0" fontId="18" fillId="0" borderId="54" xfId="0" applyFont="1" applyBorder="1" applyAlignment="1">
      <alignment horizontal="center" vertical="center" wrapText="1"/>
    </xf>
    <xf numFmtId="44" fontId="18" fillId="7" borderId="55" xfId="0" applyNumberFormat="1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8" fontId="18" fillId="8" borderId="57" xfId="0" applyNumberFormat="1" applyFont="1" applyFill="1" applyBorder="1" applyAlignment="1">
      <alignment horizontal="center" vertical="center" wrapText="1"/>
    </xf>
    <xf numFmtId="0" fontId="0" fillId="8" borderId="57" xfId="0" applyFill="1" applyBorder="1" applyAlignment="1">
      <alignment horizontal="center" vertical="center" wrapText="1"/>
    </xf>
    <xf numFmtId="0" fontId="0" fillId="0" borderId="26" xfId="0" applyBorder="1"/>
    <xf numFmtId="0" fontId="0" fillId="0" borderId="49" xfId="0" applyBorder="1"/>
    <xf numFmtId="0" fontId="0" fillId="0" borderId="27" xfId="0" applyBorder="1"/>
    <xf numFmtId="0" fontId="12" fillId="0" borderId="0" xfId="0" applyFont="1" applyAlignment="1">
      <alignment horizontal="center" vertical="center"/>
    </xf>
    <xf numFmtId="0" fontId="3" fillId="2" borderId="26" xfId="0" applyFont="1" applyFill="1" applyBorder="1" applyAlignment="1">
      <alignment horizontal="center"/>
    </xf>
    <xf numFmtId="0" fontId="3" fillId="2" borderId="49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4" fontId="0" fillId="0" borderId="0" xfId="0" applyNumberFormat="1" applyAlignment="1">
      <alignment horizontal="center" vertical="center"/>
    </xf>
    <xf numFmtId="0" fontId="0" fillId="0" borderId="0" xfId="0" applyAlignment="1">
      <alignment horizontal="left" wrapText="1"/>
    </xf>
    <xf numFmtId="44" fontId="0" fillId="0" borderId="49" xfId="0" applyNumberFormat="1" applyBorder="1" applyAlignment="1">
      <alignment horizontal="center" vertical="center"/>
    </xf>
    <xf numFmtId="44" fontId="0" fillId="0" borderId="37" xfId="0" applyNumberFormat="1" applyBorder="1" applyAlignment="1">
      <alignment horizontal="center" vertical="center"/>
    </xf>
    <xf numFmtId="44" fontId="0" fillId="0" borderId="27" xfId="0" applyNumberFormat="1" applyBorder="1" applyAlignment="1">
      <alignment horizontal="center" vertical="center"/>
    </xf>
    <xf numFmtId="0" fontId="16" fillId="6" borderId="0" xfId="0" applyFont="1" applyFill="1" applyAlignment="1">
      <alignment horizontal="center" wrapText="1"/>
    </xf>
    <xf numFmtId="0" fontId="14" fillId="0" borderId="0" xfId="0" applyFont="1" applyAlignment="1">
      <alignment horizontal="center" wrapText="1"/>
    </xf>
    <xf numFmtId="0" fontId="19" fillId="5" borderId="56" xfId="0" applyFont="1" applyFill="1" applyBorder="1" applyAlignment="1">
      <alignment horizontal="left" vertical="center"/>
    </xf>
    <xf numFmtId="0" fontId="19" fillId="5" borderId="31" xfId="0" applyFont="1" applyFill="1" applyBorder="1" applyAlignment="1">
      <alignment horizontal="left" vertical="center"/>
    </xf>
    <xf numFmtId="0" fontId="19" fillId="5" borderId="32" xfId="0" applyFont="1" applyFill="1" applyBorder="1" applyAlignment="1">
      <alignment horizontal="left" vertical="center"/>
    </xf>
    <xf numFmtId="0" fontId="14" fillId="0" borderId="36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17" fillId="0" borderId="36" xfId="1" applyFont="1" applyBorder="1" applyAlignment="1">
      <alignment horizontal="left" vertical="top" wrapText="1"/>
    </xf>
    <xf numFmtId="0" fontId="17" fillId="0" borderId="0" xfId="1" applyFont="1" applyBorder="1" applyAlignment="1">
      <alignment horizontal="left" vertical="top" wrapText="1"/>
    </xf>
    <xf numFmtId="0" fontId="17" fillId="0" borderId="37" xfId="1" applyFont="1" applyBorder="1" applyAlignment="1">
      <alignment horizontal="left" vertical="top" wrapText="1"/>
    </xf>
    <xf numFmtId="0" fontId="15" fillId="4" borderId="36" xfId="0" applyFont="1" applyFill="1" applyBorder="1" applyAlignment="1">
      <alignment horizontal="center" wrapText="1"/>
    </xf>
    <xf numFmtId="0" fontId="15" fillId="4" borderId="0" xfId="0" applyFont="1" applyFill="1" applyAlignment="1">
      <alignment horizontal="center" wrapText="1"/>
    </xf>
    <xf numFmtId="0" fontId="15" fillId="4" borderId="37" xfId="0" applyFont="1" applyFill="1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0" borderId="38" xfId="0" applyBorder="1" applyAlignment="1">
      <alignment horizontal="center"/>
    </xf>
    <xf numFmtId="0" fontId="15" fillId="4" borderId="38" xfId="0" applyFont="1" applyFill="1" applyBorder="1" applyAlignment="1">
      <alignment horizontal="center" vertical="center" wrapText="1"/>
    </xf>
    <xf numFmtId="14" fontId="16" fillId="4" borderId="38" xfId="0" applyNumberFormat="1" applyFont="1" applyFill="1" applyBorder="1" applyAlignment="1">
      <alignment horizontal="center" vertical="center" wrapText="1"/>
    </xf>
    <xf numFmtId="14" fontId="16" fillId="4" borderId="35" xfId="0" applyNumberFormat="1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37" xfId="0" applyBorder="1" applyAlignment="1">
      <alignment horizontal="center" wrapText="1"/>
    </xf>
    <xf numFmtId="0" fontId="17" fillId="0" borderId="0" xfId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14" fontId="16" fillId="4" borderId="43" xfId="0" applyNumberFormat="1" applyFont="1" applyFill="1" applyBorder="1" applyAlignment="1">
      <alignment horizontal="center" vertical="center" wrapText="1"/>
    </xf>
    <xf numFmtId="14" fontId="16" fillId="4" borderId="44" xfId="0" applyNumberFormat="1" applyFont="1" applyFill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27" xfId="0" applyBorder="1" applyAlignment="1">
      <alignment horizontal="center"/>
    </xf>
    <xf numFmtId="0" fontId="5" fillId="0" borderId="0" xfId="1" applyAlignment="1">
      <alignment horizontal="center"/>
    </xf>
    <xf numFmtId="0" fontId="0" fillId="0" borderId="29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52" xfId="0" applyBorder="1" applyAlignment="1">
      <alignment horizontal="center" wrapText="1"/>
    </xf>
    <xf numFmtId="0" fontId="0" fillId="0" borderId="31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15" fillId="4" borderId="40" xfId="0" applyFont="1" applyFill="1" applyBorder="1" applyAlignment="1">
      <alignment horizontal="center" vertical="center" wrapText="1"/>
    </xf>
    <xf numFmtId="0" fontId="15" fillId="4" borderId="41" xfId="0" applyFont="1" applyFill="1" applyBorder="1" applyAlignment="1">
      <alignment horizontal="center" vertical="center" wrapText="1"/>
    </xf>
    <xf numFmtId="0" fontId="15" fillId="4" borderId="4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49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15" fillId="4" borderId="39" xfId="0" applyFont="1" applyFill="1" applyBorder="1" applyAlignment="1">
      <alignment horizontal="center" wrapText="1"/>
    </xf>
    <xf numFmtId="0" fontId="15" fillId="4" borderId="48" xfId="0" applyFont="1" applyFill="1" applyBorder="1" applyAlignment="1">
      <alignment horizontal="center" wrapText="1"/>
    </xf>
    <xf numFmtId="0" fontId="19" fillId="0" borderId="56" xfId="0" applyFont="1" applyBorder="1" applyAlignment="1">
      <alignment horizontal="left" vertical="center"/>
    </xf>
    <xf numFmtId="0" fontId="19" fillId="0" borderId="31" xfId="0" applyFont="1" applyBorder="1" applyAlignment="1">
      <alignment horizontal="left" vertical="center"/>
    </xf>
    <xf numFmtId="0" fontId="19" fillId="0" borderId="32" xfId="0" applyFont="1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9" fillId="0" borderId="59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60" xfId="0" applyFont="1" applyBorder="1" applyAlignment="1">
      <alignment horizontal="left" vertical="center"/>
    </xf>
    <xf numFmtId="0" fontId="15" fillId="4" borderId="40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15" fillId="4" borderId="42" xfId="0" applyFont="1" applyFill="1" applyBorder="1" applyAlignment="1">
      <alignment horizontal="center" vertical="center"/>
    </xf>
    <xf numFmtId="0" fontId="0" fillId="0" borderId="49" xfId="0" applyBorder="1" applyAlignment="1">
      <alignment horizontal="left" vertical="top" wrapText="1"/>
    </xf>
    <xf numFmtId="44" fontId="23" fillId="4" borderId="58" xfId="0" applyNumberFormat="1" applyFont="1" applyFill="1" applyBorder="1" applyAlignment="1">
      <alignment horizontal="center" vertical="center" wrapText="1"/>
    </xf>
    <xf numFmtId="44" fontId="23" fillId="4" borderId="62" xfId="0" applyNumberFormat="1" applyFont="1" applyFill="1" applyBorder="1" applyAlignment="1">
      <alignment horizontal="center" vertical="center" wrapText="1"/>
    </xf>
    <xf numFmtId="0" fontId="23" fillId="4" borderId="33" xfId="0" applyFont="1" applyFill="1" applyBorder="1" applyAlignment="1">
      <alignment horizontal="center" vertical="center" wrapText="1"/>
    </xf>
    <xf numFmtId="0" fontId="23" fillId="4" borderId="61" xfId="0" applyFont="1" applyFill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8</xdr:col>
      <xdr:colOff>0</xdr:colOff>
      <xdr:row>4</xdr:row>
      <xdr:rowOff>190499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938C9CA-AE64-483F-884F-AE784D8C31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014" b="4587"/>
        <a:stretch>
          <a:fillRect/>
        </a:stretch>
      </xdr:blipFill>
      <xdr:spPr bwMode="auto">
        <a:xfrm>
          <a:off x="47625" y="76200"/>
          <a:ext cx="668655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19051</xdr:colOff>
      <xdr:row>0</xdr:row>
      <xdr:rowOff>66675</xdr:rowOff>
    </xdr:from>
    <xdr:ext cx="6496050" cy="876299"/>
    <xdr:pic>
      <xdr:nvPicPr>
        <xdr:cNvPr id="15" name="Imagen 14">
          <a:extLst>
            <a:ext uri="{FF2B5EF4-FFF2-40B4-BE49-F238E27FC236}">
              <a16:creationId xmlns:a16="http://schemas.microsoft.com/office/drawing/2014/main" id="{EDF2F4FE-4F65-45B3-8FF6-CA318D6A7E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014" b="4587"/>
        <a:stretch>
          <a:fillRect/>
        </a:stretch>
      </xdr:blipFill>
      <xdr:spPr bwMode="auto">
        <a:xfrm>
          <a:off x="6753226" y="66675"/>
          <a:ext cx="649605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46</xdr:row>
      <xdr:rowOff>171450</xdr:rowOff>
    </xdr:from>
    <xdr:ext cx="200025" cy="215199"/>
    <xdr:pic>
      <xdr:nvPicPr>
        <xdr:cNvPr id="24" name="Imagen 23">
          <a:extLst>
            <a:ext uri="{FF2B5EF4-FFF2-40B4-BE49-F238E27FC236}">
              <a16:creationId xmlns:a16="http://schemas.microsoft.com/office/drawing/2014/main" id="{86428532-AEA6-4CBE-8B6D-22D257CAD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8743950"/>
          <a:ext cx="200025" cy="215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19050</xdr:colOff>
      <xdr:row>47</xdr:row>
      <xdr:rowOff>9525</xdr:rowOff>
    </xdr:from>
    <xdr:ext cx="190500" cy="180975"/>
    <xdr:pic>
      <xdr:nvPicPr>
        <xdr:cNvPr id="25" name="Imagen 24">
          <a:extLst>
            <a:ext uri="{FF2B5EF4-FFF2-40B4-BE49-F238E27FC236}">
              <a16:creationId xmlns:a16="http://schemas.microsoft.com/office/drawing/2014/main" id="{8E980243-5681-4BF9-B338-553031C48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9153525"/>
          <a:ext cx="1905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114300</xdr:colOff>
      <xdr:row>47</xdr:row>
      <xdr:rowOff>19050</xdr:rowOff>
    </xdr:from>
    <xdr:ext cx="180975" cy="190500"/>
    <xdr:pic>
      <xdr:nvPicPr>
        <xdr:cNvPr id="26" name="Imagen 25">
          <a:extLst>
            <a:ext uri="{FF2B5EF4-FFF2-40B4-BE49-F238E27FC236}">
              <a16:creationId xmlns:a16="http://schemas.microsoft.com/office/drawing/2014/main" id="{83819115-BDE6-449E-9C73-281AC0F78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0" y="9163050"/>
          <a:ext cx="1809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16</xdr:col>
      <xdr:colOff>0</xdr:colOff>
      <xdr:row>25</xdr:row>
      <xdr:rowOff>0</xdr:rowOff>
    </xdr:from>
    <xdr:to>
      <xdr:col>16</xdr:col>
      <xdr:colOff>304800</xdr:colOff>
      <xdr:row>26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AA90494-EEB8-9B33-938D-83849753D805}"/>
            </a:ext>
          </a:extLst>
        </xdr:cNvPr>
        <xdr:cNvSpPr>
          <a:spLocks noChangeAspect="1" noChangeArrowheads="1"/>
        </xdr:cNvSpPr>
      </xdr:nvSpPr>
      <xdr:spPr bwMode="auto">
        <a:xfrm>
          <a:off x="13287375" y="48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304800</xdr:colOff>
      <xdr:row>26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D334BA61-70D2-01FF-AB8F-325898585078}"/>
            </a:ext>
          </a:extLst>
        </xdr:cNvPr>
        <xdr:cNvSpPr>
          <a:spLocks noChangeAspect="1" noChangeArrowheads="1"/>
        </xdr:cNvSpPr>
      </xdr:nvSpPr>
      <xdr:spPr bwMode="auto">
        <a:xfrm>
          <a:off x="13287375" y="48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161925</xdr:colOff>
      <xdr:row>5</xdr:row>
      <xdr:rowOff>104775</xdr:rowOff>
    </xdr:from>
    <xdr:to>
      <xdr:col>2</xdr:col>
      <xdr:colOff>410111</xdr:colOff>
      <xdr:row>11</xdr:row>
      <xdr:rowOff>45821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DA92BF0-49B9-4ACD-AE5B-25F4D8F3A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066800"/>
          <a:ext cx="1886486" cy="1131671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333375</xdr:colOff>
      <xdr:row>5</xdr:row>
      <xdr:rowOff>123825</xdr:rowOff>
    </xdr:from>
    <xdr:to>
      <xdr:col>10</xdr:col>
      <xdr:colOff>581561</xdr:colOff>
      <xdr:row>11</xdr:row>
      <xdr:rowOff>64871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8C4C52A-BB58-4A82-83A4-C9177891A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085850"/>
          <a:ext cx="1886486" cy="113167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304800</xdr:colOff>
      <xdr:row>29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EB5773-4FD1-BC9F-30B5-5664C0C0AA07}"/>
            </a:ext>
          </a:extLst>
        </xdr:cNvPr>
        <xdr:cNvSpPr>
          <a:spLocks noChangeAspect="1" noChangeArrowheads="1"/>
        </xdr:cNvSpPr>
      </xdr:nvSpPr>
      <xdr:spPr bwMode="auto">
        <a:xfrm>
          <a:off x="8372475" y="54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428626</xdr:colOff>
      <xdr:row>33</xdr:row>
      <xdr:rowOff>161926</xdr:rowOff>
    </xdr:from>
    <xdr:to>
      <xdr:col>14</xdr:col>
      <xdr:colOff>47625</xdr:colOff>
      <xdr:row>47</xdr:row>
      <xdr:rowOff>125613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0E1FB5F-8B37-CAB5-9B0F-6E284F923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62801" y="6515101"/>
          <a:ext cx="4533899" cy="2725937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14</xdr:row>
      <xdr:rowOff>66674</xdr:rowOff>
    </xdr:from>
    <xdr:to>
      <xdr:col>11</xdr:col>
      <xdr:colOff>466724</xdr:colOff>
      <xdr:row>32</xdr:row>
      <xdr:rowOff>86801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A25F759-93CF-761F-C5B2-5EAD458B0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24700" y="2809874"/>
          <a:ext cx="2533649" cy="3449127"/>
        </a:xfrm>
        <a:prstGeom prst="rect">
          <a:avLst/>
        </a:prstGeom>
      </xdr:spPr>
    </xdr:pic>
    <xdr:clientData/>
  </xdr:twoCellAnchor>
  <xdr:twoCellAnchor editAs="oneCell">
    <xdr:from>
      <xdr:col>11</xdr:col>
      <xdr:colOff>550085</xdr:colOff>
      <xdr:row>14</xdr:row>
      <xdr:rowOff>85817</xdr:rowOff>
    </xdr:from>
    <xdr:to>
      <xdr:col>14</xdr:col>
      <xdr:colOff>219075</xdr:colOff>
      <xdr:row>32</xdr:row>
      <xdr:rowOff>47625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9D44AA4-5B2C-AA00-771D-E9FCFA2D4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41710" y="2829017"/>
          <a:ext cx="2126440" cy="3390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mx/caja-de-registro-estanca-ip55-8x8x45-sin-conos/up/MLMU983580995" TargetMode="External"/><Relationship Id="rId13" Type="http://schemas.openxmlformats.org/officeDocument/2006/relationships/hyperlink" Target="https://articulo.mercadolibre.com.mx/MLM-4253948562-10-piezas-conector-rapido-cableado-electrico-28-12-awg-1-via-_JM" TargetMode="External"/><Relationship Id="rId3" Type="http://schemas.openxmlformats.org/officeDocument/2006/relationships/hyperlink" Target="https://craftqube.mx/products/escuadra-45x45-bosch-rexroth" TargetMode="External"/><Relationship Id="rId7" Type="http://schemas.openxmlformats.org/officeDocument/2006/relationships/hyperlink" Target="https://articulo.mercadolibre.com.mx/MLM-3261640688-conector-conduit-pared-delgada-acero-galvanizado-12-5-pzas-_JM" TargetMode="External"/><Relationship Id="rId12" Type="http://schemas.openxmlformats.org/officeDocument/2006/relationships/hyperlink" Target="https://eltornillo.com.mx/tienda-en-linea/catalogo/taquetes/taquete-arpon-galvanizado-1%2F4x2_1%2F4?gad_source=1&amp;gad_campaignid=21686270870&amp;gbraid=0AAAAADsHgckfzLBgZqtF2UWg0tSxne_Eq" TargetMode="External"/><Relationship Id="rId2" Type="http://schemas.openxmlformats.org/officeDocument/2006/relationships/hyperlink" Target="https://www.amazon.com.mx/montaje-perfiles-extrusi%C3%B3n-aluminio-calibre/dp/B0BJZW9H1J" TargetMode="External"/><Relationship Id="rId1" Type="http://schemas.openxmlformats.org/officeDocument/2006/relationships/hyperlink" Target="https://articulo.mercadolibre.com.mx/MLM-1393795990-soporte-encoder-medidor-distancia-encoder-20mm-plc-arduino-_JM" TargetMode="External"/><Relationship Id="rId6" Type="http://schemas.openxmlformats.org/officeDocument/2006/relationships/hyperlink" Target="https://www.mercadolibre.com.mx/10-pzs-cople-tipo-americano-pared-delgada-12-pulgada-argos/up/MLMU3221255460" TargetMode="External"/><Relationship Id="rId11" Type="http://schemas.openxmlformats.org/officeDocument/2006/relationships/hyperlink" Target="https://www.elektron.com.mx/abrazadera-unicanal-1-2-para-conduit-pared-delgada-aw-12-anclo" TargetMode="External"/><Relationship Id="rId5" Type="http://schemas.openxmlformats.org/officeDocument/2006/relationships/hyperlink" Target="https://www.mercadolibre.com.mx/5-pzs-codo-ptubo-electrico-conduit-12-pared-delgada-argos/up/MLMU3220826280" TargetMode="External"/><Relationship Id="rId10" Type="http://schemas.openxmlformats.org/officeDocument/2006/relationships/hyperlink" Target="https://www.elektron.com.mx/perfil-unicanal-solido-4-x-2-calibre-16-use-4x2-omega" TargetMode="External"/><Relationship Id="rId4" Type="http://schemas.openxmlformats.org/officeDocument/2006/relationships/hyperlink" Target="https://www.fixferreterias.com/tubo-conduit-1-2-galvanizado-3-m-pared-delgada-et-verde.html" TargetMode="External"/><Relationship Id="rId9" Type="http://schemas.openxmlformats.org/officeDocument/2006/relationships/hyperlink" Target="https://dimeint.com/products/arco5x20" TargetMode="External"/><Relationship Id="rId1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entas@ssepi.org" TargetMode="External"/><Relationship Id="rId2" Type="http://schemas.openxmlformats.org/officeDocument/2006/relationships/hyperlink" Target="http://www.ssepi.org/" TargetMode="External"/><Relationship Id="rId1" Type="http://schemas.openxmlformats.org/officeDocument/2006/relationships/printerSettings" Target="../printerSettings/printerSettings2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0909-0D93-40BB-B54C-E652B7B0F371}">
  <dimension ref="A1:L61"/>
  <sheetViews>
    <sheetView tabSelected="1" zoomScale="130" zoomScaleNormal="130" workbookViewId="0">
      <selection activeCell="C4" sqref="C4"/>
    </sheetView>
  </sheetViews>
  <sheetFormatPr baseColWidth="10" defaultRowHeight="15" x14ac:dyDescent="0.25"/>
  <cols>
    <col min="1" max="1" width="19.140625" customWidth="1"/>
    <col min="2" max="2" width="21.28515625" customWidth="1"/>
    <col min="3" max="3" width="42.28515625" customWidth="1"/>
    <col min="4" max="4" width="18.7109375" customWidth="1"/>
    <col min="5" max="5" width="16.7109375" bestFit="1" customWidth="1"/>
    <col min="6" max="6" width="9.5703125" customWidth="1"/>
    <col min="7" max="7" width="13.5703125" customWidth="1"/>
    <col min="8" max="8" width="13.42578125" customWidth="1"/>
    <col min="10" max="10" width="11.7109375" customWidth="1"/>
    <col min="11" max="11" width="21.28515625" customWidth="1"/>
    <col min="12" max="12" width="18" customWidth="1"/>
    <col min="13" max="13" width="17.7109375" customWidth="1"/>
    <col min="14" max="14" width="14.85546875" customWidth="1"/>
    <col min="15" max="15" width="16.140625" customWidth="1"/>
    <col min="16" max="16" width="17.5703125" customWidth="1"/>
    <col min="17" max="17" width="15.7109375" customWidth="1"/>
    <col min="18" max="18" width="15" customWidth="1"/>
  </cols>
  <sheetData>
    <row r="1" spans="1:12" ht="15.75" thickBot="1" x14ac:dyDescent="0.3">
      <c r="A1" s="7" t="s">
        <v>16</v>
      </c>
      <c r="B1" s="36">
        <v>20000</v>
      </c>
      <c r="D1" s="55" t="s">
        <v>69</v>
      </c>
      <c r="E1" s="8">
        <v>0.4</v>
      </c>
      <c r="G1" s="59" t="s">
        <v>34</v>
      </c>
      <c r="H1" s="60">
        <v>24360</v>
      </c>
    </row>
    <row r="2" spans="1:12" ht="15.75" thickBot="1" x14ac:dyDescent="0.3">
      <c r="A2" s="7" t="s">
        <v>17</v>
      </c>
      <c r="B2" s="35">
        <v>9</v>
      </c>
      <c r="D2" s="55" t="s">
        <v>67</v>
      </c>
      <c r="E2" s="8">
        <v>0.03</v>
      </c>
      <c r="G2" s="59" t="s">
        <v>35</v>
      </c>
      <c r="H2" s="60">
        <v>1500</v>
      </c>
    </row>
    <row r="3" spans="1:12" ht="15.75" thickBot="1" x14ac:dyDescent="0.3">
      <c r="A3" s="7" t="s">
        <v>14</v>
      </c>
      <c r="B3" s="35">
        <f>ROUND((((B1/20)/B2)),1)</f>
        <v>111.1</v>
      </c>
      <c r="D3" s="55" t="s">
        <v>68</v>
      </c>
      <c r="E3" s="8">
        <v>0.01</v>
      </c>
      <c r="G3" s="59" t="s">
        <v>36</v>
      </c>
      <c r="H3" s="60">
        <v>500</v>
      </c>
    </row>
    <row r="4" spans="1:12" ht="15.75" thickBot="1" x14ac:dyDescent="0.3">
      <c r="A4" s="34" t="s">
        <v>77</v>
      </c>
      <c r="B4" s="37">
        <f>(((SUM(H1:H5))/4)/5)/B2</f>
        <v>197</v>
      </c>
      <c r="D4" s="55" t="s">
        <v>78</v>
      </c>
      <c r="E4" s="8">
        <v>27</v>
      </c>
      <c r="G4" s="59" t="s">
        <v>37</v>
      </c>
      <c r="H4" s="60">
        <v>600</v>
      </c>
    </row>
    <row r="5" spans="1:12" x14ac:dyDescent="0.25">
      <c r="D5" s="55" t="s">
        <v>79</v>
      </c>
      <c r="E5" s="8">
        <v>125</v>
      </c>
      <c r="G5" s="59" t="s">
        <v>80</v>
      </c>
      <c r="H5" s="60">
        <v>8500</v>
      </c>
    </row>
    <row r="7" spans="1:12" ht="18" customHeight="1" thickBot="1" x14ac:dyDescent="0.3">
      <c r="B7" s="2" t="s">
        <v>0</v>
      </c>
      <c r="C7" s="2" t="s">
        <v>1</v>
      </c>
      <c r="D7" s="2" t="s">
        <v>2</v>
      </c>
      <c r="E7" s="6" t="s">
        <v>32</v>
      </c>
      <c r="F7" s="6" t="s">
        <v>15</v>
      </c>
      <c r="G7" s="6" t="s">
        <v>33</v>
      </c>
      <c r="H7" s="6" t="s">
        <v>38</v>
      </c>
    </row>
    <row r="8" spans="1:12" ht="30" x14ac:dyDescent="0.25">
      <c r="B8" s="111" t="s">
        <v>20</v>
      </c>
      <c r="C8" s="13" t="s">
        <v>22</v>
      </c>
      <c r="D8" s="14" t="s">
        <v>7</v>
      </c>
      <c r="E8" s="25">
        <f>(B3+$B$4)</f>
        <v>308.10000000000002</v>
      </c>
      <c r="F8" s="27">
        <v>6</v>
      </c>
      <c r="G8" s="17">
        <f t="shared" ref="G8:G24" si="0">$B$3*F8</f>
        <v>666.59999999999991</v>
      </c>
      <c r="H8" s="30">
        <f>F8*E8</f>
        <v>1848.6000000000001</v>
      </c>
    </row>
    <row r="9" spans="1:12" ht="19.5" customHeight="1" thickBot="1" x14ac:dyDescent="0.3">
      <c r="B9" s="112"/>
      <c r="C9" s="15" t="s">
        <v>21</v>
      </c>
      <c r="D9" s="16" t="s">
        <v>13</v>
      </c>
      <c r="E9" s="61">
        <f>(B3+$B$4)</f>
        <v>308.10000000000002</v>
      </c>
      <c r="F9" s="26">
        <v>0</v>
      </c>
      <c r="G9" s="18">
        <f t="shared" si="0"/>
        <v>0</v>
      </c>
      <c r="H9" s="31">
        <f t="shared" ref="H9:H24" si="1">F9*E9</f>
        <v>0</v>
      </c>
    </row>
    <row r="10" spans="1:12" x14ac:dyDescent="0.25">
      <c r="B10" s="119" t="s">
        <v>3</v>
      </c>
      <c r="C10" s="3" t="s">
        <v>4</v>
      </c>
      <c r="D10" s="3" t="s">
        <v>13</v>
      </c>
      <c r="E10" s="17">
        <f>($B$3*1.3)+$B$4</f>
        <v>341.43</v>
      </c>
      <c r="F10" s="28">
        <v>0</v>
      </c>
      <c r="G10" s="17">
        <f t="shared" si="0"/>
        <v>0</v>
      </c>
      <c r="H10" s="30">
        <f t="shared" si="1"/>
        <v>0</v>
      </c>
      <c r="K10" t="s">
        <v>81</v>
      </c>
      <c r="L10">
        <v>1</v>
      </c>
    </row>
    <row r="11" spans="1:12" x14ac:dyDescent="0.25">
      <c r="B11" s="120"/>
      <c r="C11" s="1" t="s">
        <v>5</v>
      </c>
      <c r="D11" s="1" t="s">
        <v>13</v>
      </c>
      <c r="E11" s="9">
        <f>($B$3*1.2)+$B$4</f>
        <v>330.32</v>
      </c>
      <c r="F11" s="20">
        <v>0</v>
      </c>
      <c r="G11" s="9">
        <f t="shared" si="0"/>
        <v>0</v>
      </c>
      <c r="H11" s="32">
        <f t="shared" si="1"/>
        <v>0</v>
      </c>
    </row>
    <row r="12" spans="1:12" ht="15.75" thickBot="1" x14ac:dyDescent="0.3">
      <c r="B12" s="121"/>
      <c r="C12" s="4" t="s">
        <v>6</v>
      </c>
      <c r="D12" s="4" t="s">
        <v>7</v>
      </c>
      <c r="E12" s="18">
        <f>$B$3</f>
        <v>111.1</v>
      </c>
      <c r="F12" s="21">
        <v>5</v>
      </c>
      <c r="G12" s="18">
        <f t="shared" si="0"/>
        <v>555.5</v>
      </c>
      <c r="H12" s="31">
        <f t="shared" si="1"/>
        <v>555.5</v>
      </c>
    </row>
    <row r="13" spans="1:12" x14ac:dyDescent="0.25">
      <c r="B13" s="119" t="s">
        <v>8</v>
      </c>
      <c r="C13" s="3" t="s">
        <v>82</v>
      </c>
      <c r="D13" s="3" t="s">
        <v>7</v>
      </c>
      <c r="E13" s="17">
        <f>($B$3+$B$4)*2.1</f>
        <v>647.0100000000001</v>
      </c>
      <c r="F13" s="28">
        <v>0</v>
      </c>
      <c r="G13" s="17">
        <f t="shared" si="0"/>
        <v>0</v>
      </c>
      <c r="H13" s="30">
        <f t="shared" si="1"/>
        <v>0</v>
      </c>
      <c r="K13" t="s">
        <v>83</v>
      </c>
      <c r="L13" s="54"/>
    </row>
    <row r="14" spans="1:12" x14ac:dyDescent="0.25">
      <c r="B14" s="120"/>
      <c r="C14" s="1" t="s">
        <v>12</v>
      </c>
      <c r="D14" s="1" t="s">
        <v>7</v>
      </c>
      <c r="E14" s="9">
        <f>($B$3+$B$4)*2.1</f>
        <v>647.0100000000001</v>
      </c>
      <c r="F14" s="20"/>
      <c r="G14" s="9">
        <f t="shared" si="0"/>
        <v>0</v>
      </c>
      <c r="H14" s="32">
        <f t="shared" si="1"/>
        <v>0</v>
      </c>
      <c r="K14" t="s">
        <v>84</v>
      </c>
      <c r="L14" s="54"/>
    </row>
    <row r="15" spans="1:12" ht="30" x14ac:dyDescent="0.25">
      <c r="B15" s="120"/>
      <c r="C15" s="1" t="s">
        <v>19</v>
      </c>
      <c r="D15" s="1" t="s">
        <v>7</v>
      </c>
      <c r="E15" s="9">
        <f>($B$3+$B$4)*2.3</f>
        <v>708.63</v>
      </c>
      <c r="F15" s="20">
        <v>0</v>
      </c>
      <c r="G15" s="9">
        <f t="shared" si="0"/>
        <v>0</v>
      </c>
      <c r="H15" s="32">
        <f t="shared" si="1"/>
        <v>0</v>
      </c>
      <c r="K15" t="s">
        <v>85</v>
      </c>
      <c r="L15" s="54"/>
    </row>
    <row r="16" spans="1:12" ht="30.75" thickBot="1" x14ac:dyDescent="0.3">
      <c r="B16" s="121"/>
      <c r="C16" s="4" t="s">
        <v>18</v>
      </c>
      <c r="D16" s="4" t="s">
        <v>7</v>
      </c>
      <c r="E16" s="18">
        <f t="shared" ref="E16" si="2">($B$3+$B$4)*2.2</f>
        <v>677.82</v>
      </c>
      <c r="F16" s="21"/>
      <c r="G16" s="18">
        <f t="shared" si="0"/>
        <v>0</v>
      </c>
      <c r="H16" s="31">
        <f t="shared" si="1"/>
        <v>0</v>
      </c>
      <c r="K16" t="s">
        <v>86</v>
      </c>
      <c r="L16" s="54">
        <f>H25</f>
        <v>8131.9550000000008</v>
      </c>
    </row>
    <row r="17" spans="2:12" ht="30" customHeight="1" thickBot="1" x14ac:dyDescent="0.3">
      <c r="B17" s="22" t="s">
        <v>9</v>
      </c>
      <c r="C17" s="5" t="s">
        <v>10</v>
      </c>
      <c r="D17" s="5" t="s">
        <v>11</v>
      </c>
      <c r="E17" s="23">
        <f>($B$3+$B$4)*2.5</f>
        <v>770.25</v>
      </c>
      <c r="F17" s="29">
        <v>5</v>
      </c>
      <c r="G17" s="23">
        <f t="shared" si="0"/>
        <v>555.5</v>
      </c>
      <c r="H17" s="33">
        <f t="shared" si="1"/>
        <v>3851.25</v>
      </c>
      <c r="K17" t="s">
        <v>129</v>
      </c>
      <c r="L17" s="54">
        <v>291</v>
      </c>
    </row>
    <row r="18" spans="2:12" ht="31.5" x14ac:dyDescent="0.5">
      <c r="B18" s="113" t="s">
        <v>25</v>
      </c>
      <c r="C18" s="62" t="s">
        <v>23</v>
      </c>
      <c r="D18" s="63" t="s">
        <v>7</v>
      </c>
      <c r="E18" s="64">
        <f>($B$3+$B$4)*2.5</f>
        <v>770.25</v>
      </c>
      <c r="F18" s="65"/>
      <c r="G18" s="64">
        <f t="shared" si="0"/>
        <v>0</v>
      </c>
      <c r="H18" s="66">
        <f t="shared" si="1"/>
        <v>0</v>
      </c>
      <c r="K18" s="67" t="s">
        <v>87</v>
      </c>
      <c r="L18" s="54">
        <f>SUM(L13:L17)</f>
        <v>8422.9550000000017</v>
      </c>
    </row>
    <row r="19" spans="2:12" ht="33.75" x14ac:dyDescent="0.5">
      <c r="B19" s="114"/>
      <c r="C19" s="1" t="s">
        <v>31</v>
      </c>
      <c r="D19" s="8" t="s">
        <v>7</v>
      </c>
      <c r="E19" s="9">
        <f>($B$3+$B$4)*2.5</f>
        <v>770.25</v>
      </c>
      <c r="F19" s="10"/>
      <c r="G19" s="9">
        <f t="shared" si="0"/>
        <v>0</v>
      </c>
      <c r="H19" s="32">
        <f t="shared" si="1"/>
        <v>0</v>
      </c>
      <c r="K19" s="68" t="s">
        <v>88</v>
      </c>
      <c r="L19" s="54">
        <f>L18*1.03</f>
        <v>8675.6436500000018</v>
      </c>
    </row>
    <row r="20" spans="2:12" ht="15.75" thickBot="1" x14ac:dyDescent="0.3">
      <c r="B20" s="115"/>
      <c r="C20" s="69" t="s">
        <v>24</v>
      </c>
      <c r="D20" s="70" t="s">
        <v>7</v>
      </c>
      <c r="E20" s="9">
        <f>($B$3+$B$4)*2.5</f>
        <v>770.25</v>
      </c>
      <c r="F20" s="52"/>
      <c r="G20" s="47">
        <f t="shared" si="0"/>
        <v>0</v>
      </c>
      <c r="H20" s="53">
        <f t="shared" si="1"/>
        <v>0</v>
      </c>
    </row>
    <row r="21" spans="2:12" ht="30" x14ac:dyDescent="0.25">
      <c r="B21" s="111" t="s">
        <v>30</v>
      </c>
      <c r="C21" s="12" t="s">
        <v>26</v>
      </c>
      <c r="D21" s="3" t="s">
        <v>7</v>
      </c>
      <c r="E21" s="17">
        <f>B3*10</f>
        <v>1111</v>
      </c>
      <c r="F21" s="17"/>
      <c r="G21" s="17">
        <f t="shared" si="0"/>
        <v>0</v>
      </c>
      <c r="H21" s="30">
        <f t="shared" si="1"/>
        <v>0</v>
      </c>
    </row>
    <row r="22" spans="2:12" ht="30" x14ac:dyDescent="0.25">
      <c r="B22" s="116"/>
      <c r="C22" s="11" t="s">
        <v>27</v>
      </c>
      <c r="D22" s="1" t="s">
        <v>7</v>
      </c>
      <c r="E22" s="9">
        <f>$B$3*10</f>
        <v>1111</v>
      </c>
      <c r="F22" s="8"/>
      <c r="G22" s="9">
        <f t="shared" si="0"/>
        <v>0</v>
      </c>
      <c r="H22" s="32">
        <f t="shared" si="1"/>
        <v>0</v>
      </c>
    </row>
    <row r="23" spans="2:12" ht="30" x14ac:dyDescent="0.25">
      <c r="B23" s="116"/>
      <c r="C23" s="11" t="s">
        <v>28</v>
      </c>
      <c r="D23" s="1" t="s">
        <v>7</v>
      </c>
      <c r="E23" s="9">
        <f>$B$3*3</f>
        <v>333.29999999999995</v>
      </c>
      <c r="F23" s="8"/>
      <c r="G23" s="9">
        <f t="shared" si="0"/>
        <v>0</v>
      </c>
      <c r="H23" s="32">
        <f t="shared" si="1"/>
        <v>0</v>
      </c>
    </row>
    <row r="24" spans="2:12" ht="15.75" thickBot="1" x14ac:dyDescent="0.3">
      <c r="B24" s="117"/>
      <c r="C24" s="24" t="s">
        <v>29</v>
      </c>
      <c r="D24" s="4" t="s">
        <v>7</v>
      </c>
      <c r="E24" s="18">
        <f>$B$3*8</f>
        <v>888.8</v>
      </c>
      <c r="F24" s="19">
        <v>0</v>
      </c>
      <c r="G24" s="18">
        <f t="shared" si="0"/>
        <v>0</v>
      </c>
      <c r="H24" s="31">
        <f t="shared" si="1"/>
        <v>0</v>
      </c>
    </row>
    <row r="25" spans="2:12" ht="24" thickBot="1" x14ac:dyDescent="0.4">
      <c r="E25" s="109" t="s">
        <v>65</v>
      </c>
      <c r="F25" s="110"/>
      <c r="G25" s="71">
        <f>SUM(G8:G24)</f>
        <v>1777.6</v>
      </c>
      <c r="H25" s="72">
        <f>SUM(H8:H24)*1.3</f>
        <v>8131.9550000000008</v>
      </c>
    </row>
    <row r="26" spans="2:12" ht="23.25" x14ac:dyDescent="0.35">
      <c r="E26" s="118" t="s">
        <v>66</v>
      </c>
      <c r="F26" s="118"/>
      <c r="H26" s="73"/>
    </row>
    <row r="27" spans="2:12" ht="15" customHeight="1" x14ac:dyDescent="0.25">
      <c r="B27" s="108" t="s">
        <v>89</v>
      </c>
      <c r="C27" s="108"/>
      <c r="D27" s="108"/>
      <c r="E27" s="108"/>
      <c r="F27" s="108"/>
      <c r="G27" s="108"/>
      <c r="H27" s="108"/>
      <c r="I27" s="74"/>
      <c r="J27" s="74"/>
    </row>
    <row r="28" spans="2:12" ht="15" customHeight="1" thickBot="1" x14ac:dyDescent="0.3">
      <c r="B28" s="108"/>
      <c r="C28" s="108"/>
      <c r="D28" s="108"/>
      <c r="E28" s="108"/>
      <c r="F28" s="108"/>
      <c r="G28" s="108"/>
      <c r="H28" s="108"/>
      <c r="I28" s="74"/>
      <c r="J28" s="74"/>
    </row>
    <row r="29" spans="2:12" ht="21" customHeight="1" thickBot="1" x14ac:dyDescent="0.3">
      <c r="B29" s="75" t="s">
        <v>90</v>
      </c>
      <c r="C29" s="75" t="s">
        <v>91</v>
      </c>
      <c r="D29" s="75" t="s">
        <v>92</v>
      </c>
      <c r="E29" s="75" t="s">
        <v>93</v>
      </c>
      <c r="F29" s="75" t="s">
        <v>94</v>
      </c>
      <c r="G29" s="75" t="s">
        <v>95</v>
      </c>
      <c r="H29" s="76" t="s">
        <v>96</v>
      </c>
    </row>
    <row r="30" spans="2:12" ht="16.5" customHeight="1" x14ac:dyDescent="0.25">
      <c r="B30" s="63" t="s">
        <v>97</v>
      </c>
      <c r="C30" s="77">
        <v>226</v>
      </c>
      <c r="D30" s="77">
        <f>C30/9.5</f>
        <v>23.789473684210527</v>
      </c>
      <c r="E30" s="78">
        <f t="shared" ref="E30:E61" si="3">D30*$E$4</f>
        <v>642.31578947368428</v>
      </c>
      <c r="F30" s="77">
        <v>5</v>
      </c>
      <c r="G30" s="79">
        <f t="shared" ref="G30:G61" si="4">F30*$E$5</f>
        <v>625</v>
      </c>
      <c r="H30" s="79">
        <f t="shared" ref="H30:H61" si="5">E30+G30</f>
        <v>1267.3157894736842</v>
      </c>
    </row>
    <row r="31" spans="2:12" x14ac:dyDescent="0.25">
      <c r="B31" s="8" t="s">
        <v>98</v>
      </c>
      <c r="C31" s="80">
        <v>234</v>
      </c>
      <c r="D31" s="80">
        <f t="shared" ref="D31:D61" si="6">C31/9.5</f>
        <v>24.631578947368421</v>
      </c>
      <c r="E31" s="81">
        <f t="shared" si="3"/>
        <v>665.0526315789474</v>
      </c>
      <c r="F31" s="80">
        <v>6</v>
      </c>
      <c r="G31" s="82">
        <f t="shared" si="4"/>
        <v>750</v>
      </c>
      <c r="H31" s="82">
        <f t="shared" si="5"/>
        <v>1415.0526315789475</v>
      </c>
    </row>
    <row r="32" spans="2:12" x14ac:dyDescent="0.25">
      <c r="B32" s="8" t="s">
        <v>99</v>
      </c>
      <c r="C32" s="80">
        <v>216</v>
      </c>
      <c r="D32" s="80">
        <f t="shared" si="6"/>
        <v>22.736842105263158</v>
      </c>
      <c r="E32" s="81">
        <f t="shared" si="3"/>
        <v>613.8947368421052</v>
      </c>
      <c r="F32" s="80">
        <v>5</v>
      </c>
      <c r="G32" s="82">
        <f t="shared" si="4"/>
        <v>625</v>
      </c>
      <c r="H32" s="82">
        <f t="shared" si="5"/>
        <v>1238.8947368421052</v>
      </c>
    </row>
    <row r="33" spans="2:8" x14ac:dyDescent="0.25">
      <c r="B33" s="8" t="s">
        <v>100</v>
      </c>
      <c r="C33" s="80">
        <v>17.2</v>
      </c>
      <c r="D33" s="80">
        <f t="shared" si="6"/>
        <v>1.8105263157894735</v>
      </c>
      <c r="E33" s="81">
        <f t="shared" si="3"/>
        <v>48.884210526315783</v>
      </c>
      <c r="F33" s="80">
        <v>2</v>
      </c>
      <c r="G33" s="82">
        <f t="shared" si="4"/>
        <v>250</v>
      </c>
      <c r="H33" s="82">
        <f t="shared" si="5"/>
        <v>298.88421052631577</v>
      </c>
    </row>
    <row r="34" spans="2:8" x14ac:dyDescent="0.25">
      <c r="B34" s="8" t="s">
        <v>101</v>
      </c>
      <c r="C34" s="80">
        <v>90.6</v>
      </c>
      <c r="D34" s="80">
        <f t="shared" si="6"/>
        <v>9.5368421052631565</v>
      </c>
      <c r="E34" s="81">
        <f t="shared" si="3"/>
        <v>257.49473684210523</v>
      </c>
      <c r="F34" s="80">
        <v>3</v>
      </c>
      <c r="G34" s="82">
        <f t="shared" si="4"/>
        <v>375</v>
      </c>
      <c r="H34" s="82">
        <f t="shared" si="5"/>
        <v>632.49473684210523</v>
      </c>
    </row>
    <row r="35" spans="2:8" x14ac:dyDescent="0.25">
      <c r="B35" s="8" t="s">
        <v>102</v>
      </c>
      <c r="C35" s="80">
        <v>80</v>
      </c>
      <c r="D35" s="80">
        <f t="shared" si="6"/>
        <v>8.4210526315789469</v>
      </c>
      <c r="E35" s="81">
        <f t="shared" si="3"/>
        <v>227.36842105263156</v>
      </c>
      <c r="F35" s="80">
        <v>3</v>
      </c>
      <c r="G35" s="82">
        <f t="shared" si="4"/>
        <v>375</v>
      </c>
      <c r="H35" s="82">
        <f t="shared" si="5"/>
        <v>602.36842105263156</v>
      </c>
    </row>
    <row r="36" spans="2:8" x14ac:dyDescent="0.25">
      <c r="B36" s="8" t="s">
        <v>103</v>
      </c>
      <c r="C36" s="80">
        <v>90.6</v>
      </c>
      <c r="D36" s="80">
        <f t="shared" si="6"/>
        <v>9.5368421052631565</v>
      </c>
      <c r="E36" s="81">
        <f t="shared" si="3"/>
        <v>257.49473684210523</v>
      </c>
      <c r="F36" s="80">
        <v>3</v>
      </c>
      <c r="G36" s="82">
        <f t="shared" si="4"/>
        <v>375</v>
      </c>
      <c r="H36" s="82">
        <f t="shared" si="5"/>
        <v>632.49473684210523</v>
      </c>
    </row>
    <row r="37" spans="2:8" x14ac:dyDescent="0.25">
      <c r="B37" s="8" t="s">
        <v>104</v>
      </c>
      <c r="C37" s="80">
        <v>32</v>
      </c>
      <c r="D37" s="80">
        <f t="shared" si="6"/>
        <v>3.3684210526315788</v>
      </c>
      <c r="E37" s="81">
        <f t="shared" si="3"/>
        <v>90.94736842105263</v>
      </c>
      <c r="F37" s="80">
        <v>2</v>
      </c>
      <c r="G37" s="82">
        <f t="shared" si="4"/>
        <v>250</v>
      </c>
      <c r="H37" s="82">
        <f t="shared" si="5"/>
        <v>340.9473684210526</v>
      </c>
    </row>
    <row r="38" spans="2:8" x14ac:dyDescent="0.25">
      <c r="B38" s="8" t="s">
        <v>105</v>
      </c>
      <c r="C38" s="80">
        <v>21.6</v>
      </c>
      <c r="D38" s="80">
        <f t="shared" si="6"/>
        <v>2.2736842105263158</v>
      </c>
      <c r="E38" s="81">
        <f t="shared" si="3"/>
        <v>61.389473684210529</v>
      </c>
      <c r="F38" s="80">
        <v>2</v>
      </c>
      <c r="G38" s="82">
        <f t="shared" si="4"/>
        <v>250</v>
      </c>
      <c r="H38" s="82">
        <f t="shared" si="5"/>
        <v>311.38947368421054</v>
      </c>
    </row>
    <row r="39" spans="2:8" x14ac:dyDescent="0.25">
      <c r="B39" s="8" t="s">
        <v>106</v>
      </c>
      <c r="C39" s="80">
        <v>400</v>
      </c>
      <c r="D39" s="80">
        <f t="shared" si="6"/>
        <v>42.10526315789474</v>
      </c>
      <c r="E39" s="81">
        <f t="shared" si="3"/>
        <v>1136.8421052631579</v>
      </c>
      <c r="F39" s="80">
        <v>7</v>
      </c>
      <c r="G39" s="82">
        <f t="shared" si="4"/>
        <v>875</v>
      </c>
      <c r="H39" s="82">
        <f t="shared" si="5"/>
        <v>2011.8421052631579</v>
      </c>
    </row>
    <row r="40" spans="2:8" x14ac:dyDescent="0.25">
      <c r="B40" s="8" t="s">
        <v>107</v>
      </c>
      <c r="C40" s="80">
        <v>402</v>
      </c>
      <c r="D40" s="80">
        <f t="shared" si="6"/>
        <v>42.315789473684212</v>
      </c>
      <c r="E40" s="81">
        <f t="shared" si="3"/>
        <v>1142.5263157894738</v>
      </c>
      <c r="F40" s="80">
        <v>8</v>
      </c>
      <c r="G40" s="82">
        <f t="shared" si="4"/>
        <v>1000</v>
      </c>
      <c r="H40" s="82">
        <f t="shared" si="5"/>
        <v>2142.5263157894738</v>
      </c>
    </row>
    <row r="41" spans="2:8" x14ac:dyDescent="0.25">
      <c r="B41" s="8" t="s">
        <v>108</v>
      </c>
      <c r="C41" s="80">
        <v>79.400000000000006</v>
      </c>
      <c r="D41" s="80">
        <f t="shared" si="6"/>
        <v>8.3578947368421055</v>
      </c>
      <c r="E41" s="81">
        <f t="shared" si="3"/>
        <v>225.66315789473686</v>
      </c>
      <c r="F41" s="80">
        <v>3</v>
      </c>
      <c r="G41" s="82">
        <f t="shared" si="4"/>
        <v>375</v>
      </c>
      <c r="H41" s="82">
        <f t="shared" si="5"/>
        <v>600.66315789473686</v>
      </c>
    </row>
    <row r="42" spans="2:8" x14ac:dyDescent="0.25">
      <c r="B42" s="8" t="s">
        <v>109</v>
      </c>
      <c r="C42" s="80">
        <v>23.6</v>
      </c>
      <c r="D42" s="80">
        <f t="shared" si="6"/>
        <v>2.4842105263157896</v>
      </c>
      <c r="E42" s="81">
        <f t="shared" si="3"/>
        <v>67.073684210526324</v>
      </c>
      <c r="F42" s="80">
        <v>3</v>
      </c>
      <c r="G42" s="82">
        <f t="shared" si="4"/>
        <v>375</v>
      </c>
      <c r="H42" s="82">
        <f t="shared" si="5"/>
        <v>442.07368421052632</v>
      </c>
    </row>
    <row r="43" spans="2:8" x14ac:dyDescent="0.25">
      <c r="B43" s="8" t="s">
        <v>110</v>
      </c>
      <c r="C43" s="80">
        <v>386</v>
      </c>
      <c r="D43" s="80">
        <f t="shared" si="6"/>
        <v>40.631578947368418</v>
      </c>
      <c r="E43" s="81">
        <f t="shared" si="3"/>
        <v>1097.0526315789473</v>
      </c>
      <c r="F43" s="80">
        <v>7</v>
      </c>
      <c r="G43" s="82">
        <f t="shared" si="4"/>
        <v>875</v>
      </c>
      <c r="H43" s="82">
        <f t="shared" si="5"/>
        <v>1972.0526315789473</v>
      </c>
    </row>
    <row r="44" spans="2:8" x14ac:dyDescent="0.25">
      <c r="B44" s="8" t="s">
        <v>111</v>
      </c>
      <c r="C44" s="80">
        <v>73.8</v>
      </c>
      <c r="D44" s="80">
        <f t="shared" si="6"/>
        <v>7.7684210526315782</v>
      </c>
      <c r="E44" s="81">
        <f t="shared" si="3"/>
        <v>209.74736842105261</v>
      </c>
      <c r="F44" s="80">
        <v>3</v>
      </c>
      <c r="G44" s="82">
        <f t="shared" si="4"/>
        <v>375</v>
      </c>
      <c r="H44" s="82">
        <f t="shared" si="5"/>
        <v>584.74736842105267</v>
      </c>
    </row>
    <row r="45" spans="2:8" x14ac:dyDescent="0.25">
      <c r="B45" s="8" t="s">
        <v>112</v>
      </c>
      <c r="C45" s="80">
        <v>58.4</v>
      </c>
      <c r="D45" s="80">
        <f t="shared" si="6"/>
        <v>6.1473684210526311</v>
      </c>
      <c r="E45" s="81">
        <f t="shared" si="3"/>
        <v>165.97894736842105</v>
      </c>
      <c r="F45" s="80">
        <v>3</v>
      </c>
      <c r="G45" s="82">
        <f t="shared" si="4"/>
        <v>375</v>
      </c>
      <c r="H45" s="82">
        <f t="shared" si="5"/>
        <v>540.97894736842102</v>
      </c>
    </row>
    <row r="46" spans="2:8" x14ac:dyDescent="0.25">
      <c r="B46" s="8" t="s">
        <v>113</v>
      </c>
      <c r="C46" s="80">
        <v>61.4</v>
      </c>
      <c r="D46" s="80">
        <f t="shared" si="6"/>
        <v>6.4631578947368418</v>
      </c>
      <c r="E46" s="81">
        <f t="shared" si="3"/>
        <v>174.50526315789472</v>
      </c>
      <c r="F46" s="80">
        <v>3</v>
      </c>
      <c r="G46" s="82">
        <f t="shared" si="4"/>
        <v>375</v>
      </c>
      <c r="H46" s="82">
        <f t="shared" si="5"/>
        <v>549.50526315789466</v>
      </c>
    </row>
    <row r="47" spans="2:8" x14ac:dyDescent="0.25">
      <c r="B47" s="8" t="s">
        <v>114</v>
      </c>
      <c r="C47" s="80">
        <v>16.2</v>
      </c>
      <c r="D47" s="80">
        <f t="shared" si="6"/>
        <v>1.7052631578947368</v>
      </c>
      <c r="E47" s="81">
        <f t="shared" si="3"/>
        <v>46.042105263157893</v>
      </c>
      <c r="F47" s="80">
        <v>2</v>
      </c>
      <c r="G47" s="82">
        <f t="shared" si="4"/>
        <v>250</v>
      </c>
      <c r="H47" s="82">
        <f t="shared" si="5"/>
        <v>296.04210526315791</v>
      </c>
    </row>
    <row r="48" spans="2:8" x14ac:dyDescent="0.25">
      <c r="B48" s="8" t="s">
        <v>115</v>
      </c>
      <c r="C48" s="80">
        <v>12</v>
      </c>
      <c r="D48" s="80">
        <f t="shared" si="6"/>
        <v>1.263157894736842</v>
      </c>
      <c r="E48" s="81">
        <f t="shared" si="3"/>
        <v>34.105263157894733</v>
      </c>
      <c r="F48" s="80">
        <v>2</v>
      </c>
      <c r="G48" s="82">
        <f t="shared" si="4"/>
        <v>250</v>
      </c>
      <c r="H48" s="82">
        <f t="shared" si="5"/>
        <v>284.10526315789474</v>
      </c>
    </row>
    <row r="49" spans="2:8" x14ac:dyDescent="0.25">
      <c r="B49" s="8" t="s">
        <v>116</v>
      </c>
      <c r="C49" s="80">
        <v>59.8</v>
      </c>
      <c r="D49" s="80">
        <f t="shared" si="6"/>
        <v>6.2947368421052632</v>
      </c>
      <c r="E49" s="81">
        <f t="shared" si="3"/>
        <v>169.95789473684209</v>
      </c>
      <c r="F49" s="80">
        <v>3</v>
      </c>
      <c r="G49" s="82">
        <f t="shared" si="4"/>
        <v>375</v>
      </c>
      <c r="H49" s="82">
        <f t="shared" si="5"/>
        <v>544.95789473684204</v>
      </c>
    </row>
    <row r="50" spans="2:8" x14ac:dyDescent="0.25">
      <c r="B50" s="8" t="s">
        <v>117</v>
      </c>
      <c r="C50" s="80">
        <v>125.4</v>
      </c>
      <c r="D50" s="80">
        <f t="shared" si="6"/>
        <v>13.200000000000001</v>
      </c>
      <c r="E50" s="81">
        <f t="shared" si="3"/>
        <v>356.40000000000003</v>
      </c>
      <c r="F50" s="80">
        <v>4</v>
      </c>
      <c r="G50" s="82">
        <f t="shared" si="4"/>
        <v>500</v>
      </c>
      <c r="H50" s="82">
        <f t="shared" si="5"/>
        <v>856.40000000000009</v>
      </c>
    </row>
    <row r="51" spans="2:8" x14ac:dyDescent="0.25">
      <c r="B51" s="8" t="s">
        <v>118</v>
      </c>
      <c r="C51" s="80">
        <v>41.6</v>
      </c>
      <c r="D51" s="80">
        <f t="shared" si="6"/>
        <v>4.3789473684210529</v>
      </c>
      <c r="E51" s="81">
        <f t="shared" si="3"/>
        <v>118.23157894736843</v>
      </c>
      <c r="F51" s="80">
        <v>3</v>
      </c>
      <c r="G51" s="82">
        <f t="shared" si="4"/>
        <v>375</v>
      </c>
      <c r="H51" s="82">
        <f t="shared" si="5"/>
        <v>493.23157894736846</v>
      </c>
    </row>
    <row r="52" spans="2:8" x14ac:dyDescent="0.25">
      <c r="B52" s="8" t="s">
        <v>119</v>
      </c>
      <c r="C52" s="80">
        <v>157</v>
      </c>
      <c r="D52" s="80">
        <f t="shared" si="6"/>
        <v>16.526315789473685</v>
      </c>
      <c r="E52" s="81">
        <f t="shared" si="3"/>
        <v>446.21052631578948</v>
      </c>
      <c r="F52" s="80">
        <v>4</v>
      </c>
      <c r="G52" s="82">
        <f t="shared" si="4"/>
        <v>500</v>
      </c>
      <c r="H52" s="82">
        <f t="shared" si="5"/>
        <v>946.21052631578948</v>
      </c>
    </row>
    <row r="53" spans="2:8" x14ac:dyDescent="0.25">
      <c r="B53" s="8" t="s">
        <v>120</v>
      </c>
      <c r="C53" s="80">
        <v>138.6</v>
      </c>
      <c r="D53" s="80">
        <f t="shared" si="6"/>
        <v>14.589473684210526</v>
      </c>
      <c r="E53" s="81">
        <f t="shared" si="3"/>
        <v>393.91578947368419</v>
      </c>
      <c r="F53" s="80">
        <v>4</v>
      </c>
      <c r="G53" s="82">
        <f t="shared" si="4"/>
        <v>500</v>
      </c>
      <c r="H53" s="82">
        <f t="shared" si="5"/>
        <v>893.91578947368419</v>
      </c>
    </row>
    <row r="54" spans="2:8" x14ac:dyDescent="0.25">
      <c r="B54" s="83" t="s">
        <v>121</v>
      </c>
      <c r="C54" s="84">
        <v>61</v>
      </c>
      <c r="D54" s="80">
        <f t="shared" si="6"/>
        <v>6.4210526315789478</v>
      </c>
      <c r="E54" s="81">
        <f t="shared" si="3"/>
        <v>173.36842105263159</v>
      </c>
      <c r="F54" s="84">
        <v>3</v>
      </c>
      <c r="G54" s="82">
        <f t="shared" si="4"/>
        <v>375</v>
      </c>
      <c r="H54" s="82">
        <f t="shared" si="5"/>
        <v>548.36842105263156</v>
      </c>
    </row>
    <row r="55" spans="2:8" x14ac:dyDescent="0.25">
      <c r="B55" s="8" t="s">
        <v>122</v>
      </c>
      <c r="C55" s="80">
        <v>5</v>
      </c>
      <c r="D55" s="80">
        <f t="shared" si="6"/>
        <v>0.52631578947368418</v>
      </c>
      <c r="E55" s="81">
        <f t="shared" si="3"/>
        <v>14.210526315789473</v>
      </c>
      <c r="F55" s="80">
        <v>1</v>
      </c>
      <c r="G55" s="82">
        <f t="shared" si="4"/>
        <v>125</v>
      </c>
      <c r="H55" s="82">
        <f t="shared" si="5"/>
        <v>139.21052631578948</v>
      </c>
    </row>
    <row r="56" spans="2:8" x14ac:dyDescent="0.25">
      <c r="B56" s="8" t="s">
        <v>123</v>
      </c>
      <c r="C56" s="80">
        <v>28.2</v>
      </c>
      <c r="D56" s="80">
        <f t="shared" si="6"/>
        <v>2.9684210526315788</v>
      </c>
      <c r="E56" s="81">
        <f t="shared" si="3"/>
        <v>80.147368421052633</v>
      </c>
      <c r="F56" s="80">
        <v>3</v>
      </c>
      <c r="G56" s="82">
        <f t="shared" si="4"/>
        <v>375</v>
      </c>
      <c r="H56" s="82">
        <f t="shared" si="5"/>
        <v>455.14736842105265</v>
      </c>
    </row>
    <row r="57" spans="2:8" x14ac:dyDescent="0.25">
      <c r="B57" s="8" t="s">
        <v>124</v>
      </c>
      <c r="C57" s="80">
        <v>61.6</v>
      </c>
      <c r="D57" s="80">
        <f t="shared" si="6"/>
        <v>6.4842105263157892</v>
      </c>
      <c r="E57" s="81">
        <f t="shared" si="3"/>
        <v>175.0736842105263</v>
      </c>
      <c r="F57" s="80">
        <v>3</v>
      </c>
      <c r="G57" s="82">
        <f t="shared" si="4"/>
        <v>375</v>
      </c>
      <c r="H57" s="82">
        <f t="shared" si="5"/>
        <v>550.07368421052627</v>
      </c>
    </row>
    <row r="58" spans="2:8" x14ac:dyDescent="0.25">
      <c r="B58" s="8" t="s">
        <v>125</v>
      </c>
      <c r="C58" s="80">
        <v>14.6</v>
      </c>
      <c r="D58" s="80">
        <f t="shared" si="6"/>
        <v>1.5368421052631578</v>
      </c>
      <c r="E58" s="81">
        <f t="shared" si="3"/>
        <v>41.494736842105262</v>
      </c>
      <c r="F58" s="80">
        <v>2</v>
      </c>
      <c r="G58" s="82">
        <f t="shared" si="4"/>
        <v>250</v>
      </c>
      <c r="H58" s="82">
        <f t="shared" si="5"/>
        <v>291.49473684210528</v>
      </c>
    </row>
    <row r="59" spans="2:8" x14ac:dyDescent="0.25">
      <c r="B59" s="8" t="s">
        <v>126</v>
      </c>
      <c r="C59" s="80">
        <v>392</v>
      </c>
      <c r="D59" s="80">
        <f t="shared" si="6"/>
        <v>41.263157894736842</v>
      </c>
      <c r="E59" s="81">
        <f t="shared" si="3"/>
        <v>1114.1052631578948</v>
      </c>
      <c r="F59" s="80">
        <v>8</v>
      </c>
      <c r="G59" s="82">
        <f t="shared" si="4"/>
        <v>1000</v>
      </c>
      <c r="H59" s="82">
        <f t="shared" si="5"/>
        <v>2114.105263157895</v>
      </c>
    </row>
    <row r="60" spans="2:8" x14ac:dyDescent="0.25">
      <c r="B60" s="8" t="s">
        <v>127</v>
      </c>
      <c r="C60" s="80">
        <v>26</v>
      </c>
      <c r="D60" s="80">
        <f t="shared" si="6"/>
        <v>2.736842105263158</v>
      </c>
      <c r="E60" s="81">
        <f t="shared" si="3"/>
        <v>73.89473684210526</v>
      </c>
      <c r="F60" s="80">
        <v>2</v>
      </c>
      <c r="G60" s="82">
        <f t="shared" si="4"/>
        <v>250</v>
      </c>
      <c r="H60" s="82">
        <f t="shared" si="5"/>
        <v>323.89473684210526</v>
      </c>
    </row>
    <row r="61" spans="2:8" x14ac:dyDescent="0.25">
      <c r="B61" s="8" t="s">
        <v>128</v>
      </c>
      <c r="C61" s="80">
        <v>29.2</v>
      </c>
      <c r="D61" s="80">
        <f t="shared" si="6"/>
        <v>3.0736842105263156</v>
      </c>
      <c r="E61" s="81">
        <f t="shared" si="3"/>
        <v>82.989473684210523</v>
      </c>
      <c r="F61" s="80">
        <v>2</v>
      </c>
      <c r="G61" s="82">
        <f t="shared" si="4"/>
        <v>250</v>
      </c>
      <c r="H61" s="82">
        <f t="shared" si="5"/>
        <v>332.98947368421051</v>
      </c>
    </row>
  </sheetData>
  <customSheetViews>
    <customSheetView guid="{B467761B-9E33-4ABB-8F30-EE7896AAF428}" scale="130" topLeftCell="A16">
      <selection activeCell="H27" sqref="H27"/>
      <pageMargins left="0.7" right="0.7" top="0.75" bottom="0.75" header="0.3" footer="0.3"/>
    </customSheetView>
  </customSheetViews>
  <mergeCells count="8">
    <mergeCell ref="B27:H28"/>
    <mergeCell ref="E25:F25"/>
    <mergeCell ref="B8:B9"/>
    <mergeCell ref="B18:B20"/>
    <mergeCell ref="B21:B24"/>
    <mergeCell ref="E26:F26"/>
    <mergeCell ref="B10:B12"/>
    <mergeCell ref="B13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CEFC-A0FC-40E7-A091-56789AE6767F}">
  <dimension ref="A1:I25"/>
  <sheetViews>
    <sheetView workbookViewId="0">
      <selection activeCell="D23" sqref="D23"/>
    </sheetView>
  </sheetViews>
  <sheetFormatPr baseColWidth="10" defaultRowHeight="15" x14ac:dyDescent="0.25"/>
  <cols>
    <col min="1" max="1" width="5.7109375" customWidth="1"/>
    <col min="2" max="2" width="8.85546875" customWidth="1"/>
    <col min="3" max="3" width="23.85546875" customWidth="1"/>
    <col min="4" max="4" width="70.42578125" customWidth="1"/>
    <col min="5" max="5" width="13.42578125" customWidth="1"/>
    <col min="6" max="6" width="72.7109375" style="49" customWidth="1"/>
    <col min="7" max="7" width="21" customWidth="1"/>
    <col min="8" max="8" width="25" customWidth="1"/>
    <col min="9" max="9" width="22.5703125" customWidth="1"/>
  </cols>
  <sheetData>
    <row r="1" spans="1:9" x14ac:dyDescent="0.25">
      <c r="G1" t="s">
        <v>69</v>
      </c>
      <c r="H1">
        <v>1.3</v>
      </c>
    </row>
    <row r="4" spans="1:9" x14ac:dyDescent="0.25">
      <c r="A4" s="38" t="s">
        <v>39</v>
      </c>
      <c r="B4" s="38" t="s">
        <v>40</v>
      </c>
      <c r="C4" s="38" t="s">
        <v>41</v>
      </c>
      <c r="D4" s="39" t="s">
        <v>42</v>
      </c>
      <c r="E4" s="39" t="s">
        <v>43</v>
      </c>
      <c r="F4" s="56" t="s">
        <v>44</v>
      </c>
      <c r="G4" s="57" t="s">
        <v>45</v>
      </c>
      <c r="H4" s="57" t="s">
        <v>46</v>
      </c>
      <c r="I4" s="57" t="s">
        <v>70</v>
      </c>
    </row>
    <row r="5" spans="1:9" s="44" customFormat="1" ht="60" x14ac:dyDescent="0.25">
      <c r="A5" s="9">
        <v>1</v>
      </c>
      <c r="B5" s="9">
        <v>1</v>
      </c>
      <c r="C5" s="9"/>
      <c r="D5" s="45" t="s">
        <v>155</v>
      </c>
      <c r="E5" s="41">
        <v>3000</v>
      </c>
      <c r="F5" s="42" t="s">
        <v>137</v>
      </c>
      <c r="G5" s="58" t="s">
        <v>75</v>
      </c>
      <c r="H5" s="43">
        <f t="shared" ref="H5:H13" si="0">E5*B5</f>
        <v>3000</v>
      </c>
      <c r="I5" s="43">
        <f t="shared" ref="I5:I24" si="1">H5*$H$1</f>
        <v>3900</v>
      </c>
    </row>
    <row r="6" spans="1:9" s="44" customFormat="1" ht="16.5" customHeight="1" x14ac:dyDescent="0.25">
      <c r="A6" s="9">
        <v>2</v>
      </c>
      <c r="B6" s="9">
        <v>1</v>
      </c>
      <c r="C6" s="9"/>
      <c r="D6" s="40" t="s">
        <v>154</v>
      </c>
      <c r="E6" s="41">
        <v>200</v>
      </c>
      <c r="F6" s="42" t="s">
        <v>138</v>
      </c>
      <c r="G6" s="58" t="s">
        <v>76</v>
      </c>
      <c r="H6" s="43">
        <f t="shared" si="0"/>
        <v>200</v>
      </c>
      <c r="I6" s="43">
        <f t="shared" si="1"/>
        <v>260</v>
      </c>
    </row>
    <row r="7" spans="1:9" s="44" customFormat="1" ht="30" x14ac:dyDescent="0.25">
      <c r="A7" s="9">
        <v>3</v>
      </c>
      <c r="B7" s="9">
        <v>1</v>
      </c>
      <c r="C7" s="9"/>
      <c r="D7" s="45" t="s">
        <v>153</v>
      </c>
      <c r="E7" s="41">
        <v>1860</v>
      </c>
      <c r="F7" s="42" t="s">
        <v>139</v>
      </c>
      <c r="G7" s="58" t="s">
        <v>130</v>
      </c>
      <c r="H7" s="43">
        <f t="shared" si="0"/>
        <v>1860</v>
      </c>
      <c r="I7" s="43">
        <f t="shared" si="1"/>
        <v>2418</v>
      </c>
    </row>
    <row r="8" spans="1:9" s="44" customFormat="1" x14ac:dyDescent="0.25">
      <c r="A8" s="9">
        <v>4</v>
      </c>
      <c r="B8" s="9">
        <v>1</v>
      </c>
      <c r="C8" s="9"/>
      <c r="D8" s="9" t="s">
        <v>152</v>
      </c>
      <c r="E8" s="41">
        <v>500</v>
      </c>
      <c r="F8" s="42"/>
      <c r="G8" s="58"/>
      <c r="H8" s="43">
        <f t="shared" si="0"/>
        <v>500</v>
      </c>
      <c r="I8" s="43">
        <f t="shared" si="1"/>
        <v>650</v>
      </c>
    </row>
    <row r="9" spans="1:9" s="44" customFormat="1" x14ac:dyDescent="0.25">
      <c r="A9" s="9">
        <v>5</v>
      </c>
      <c r="B9" s="9">
        <v>4</v>
      </c>
      <c r="C9" s="9"/>
      <c r="D9" s="9" t="s">
        <v>151</v>
      </c>
      <c r="E9" s="41">
        <v>30</v>
      </c>
      <c r="F9" s="42" t="s">
        <v>140</v>
      </c>
      <c r="G9" s="58"/>
      <c r="H9" s="43">
        <f t="shared" si="0"/>
        <v>120</v>
      </c>
      <c r="I9" s="43">
        <f t="shared" si="1"/>
        <v>156</v>
      </c>
    </row>
    <row r="10" spans="1:9" s="44" customFormat="1" x14ac:dyDescent="0.25">
      <c r="A10" s="9">
        <v>6</v>
      </c>
      <c r="B10" s="9">
        <v>1</v>
      </c>
      <c r="C10" s="9"/>
      <c r="D10" s="9" t="s">
        <v>150</v>
      </c>
      <c r="E10" s="41">
        <v>100</v>
      </c>
      <c r="F10" s="42" t="s">
        <v>141</v>
      </c>
      <c r="G10" s="9"/>
      <c r="H10" s="43">
        <f t="shared" si="0"/>
        <v>100</v>
      </c>
      <c r="I10" s="43">
        <f t="shared" si="1"/>
        <v>130</v>
      </c>
    </row>
    <row r="11" spans="1:9" s="44" customFormat="1" ht="16.5" customHeight="1" x14ac:dyDescent="0.25">
      <c r="A11" s="9">
        <v>7</v>
      </c>
      <c r="B11" s="9">
        <v>4</v>
      </c>
      <c r="C11" s="9"/>
      <c r="D11" s="40" t="s">
        <v>147</v>
      </c>
      <c r="E11" s="41">
        <v>105</v>
      </c>
      <c r="F11" s="42" t="s">
        <v>161</v>
      </c>
      <c r="G11" s="9" t="s">
        <v>171</v>
      </c>
      <c r="H11" s="43">
        <f t="shared" si="0"/>
        <v>420</v>
      </c>
      <c r="I11" s="43">
        <f t="shared" si="1"/>
        <v>546</v>
      </c>
    </row>
    <row r="12" spans="1:9" s="44" customFormat="1" ht="14.25" customHeight="1" x14ac:dyDescent="0.25">
      <c r="A12" s="9">
        <v>8</v>
      </c>
      <c r="B12" s="9">
        <v>5</v>
      </c>
      <c r="C12" s="9"/>
      <c r="D12" s="40" t="s">
        <v>156</v>
      </c>
      <c r="E12" s="41">
        <v>26.8</v>
      </c>
      <c r="F12" s="46" t="s">
        <v>162</v>
      </c>
      <c r="G12" s="9" t="s">
        <v>171</v>
      </c>
      <c r="H12" s="43">
        <f t="shared" si="0"/>
        <v>134</v>
      </c>
      <c r="I12" s="43">
        <f t="shared" si="1"/>
        <v>174.20000000000002</v>
      </c>
    </row>
    <row r="13" spans="1:9" s="44" customFormat="1" ht="16.5" customHeight="1" x14ac:dyDescent="0.25">
      <c r="A13" s="9">
        <v>9</v>
      </c>
      <c r="B13" s="9">
        <v>10</v>
      </c>
      <c r="C13" s="9"/>
      <c r="D13" s="40" t="s">
        <v>157</v>
      </c>
      <c r="E13" s="41">
        <v>10</v>
      </c>
      <c r="F13" s="46" t="s">
        <v>163</v>
      </c>
      <c r="G13" s="9" t="s">
        <v>172</v>
      </c>
      <c r="H13" s="43">
        <f t="shared" si="0"/>
        <v>100</v>
      </c>
      <c r="I13" s="43">
        <f t="shared" si="1"/>
        <v>130</v>
      </c>
    </row>
    <row r="14" spans="1:9" s="44" customFormat="1" ht="15.75" customHeight="1" x14ac:dyDescent="0.25">
      <c r="A14" s="9">
        <v>10</v>
      </c>
      <c r="B14" s="9">
        <v>5</v>
      </c>
      <c r="C14" s="9"/>
      <c r="D14" s="40" t="s">
        <v>158</v>
      </c>
      <c r="E14" s="41">
        <v>20</v>
      </c>
      <c r="F14" s="46" t="s">
        <v>164</v>
      </c>
      <c r="G14" s="9" t="s">
        <v>172</v>
      </c>
      <c r="H14" s="43">
        <f t="shared" ref="H14:H23" si="2">E14*B14</f>
        <v>100</v>
      </c>
      <c r="I14" s="43">
        <f t="shared" si="1"/>
        <v>130</v>
      </c>
    </row>
    <row r="15" spans="1:9" s="44" customFormat="1" ht="16.5" customHeight="1" x14ac:dyDescent="0.25">
      <c r="A15" s="9">
        <v>11</v>
      </c>
      <c r="B15" s="9">
        <v>1</v>
      </c>
      <c r="C15" s="9"/>
      <c r="D15" s="45" t="s">
        <v>159</v>
      </c>
      <c r="E15" s="41">
        <v>85</v>
      </c>
      <c r="F15" s="46" t="s">
        <v>165</v>
      </c>
      <c r="G15" s="9" t="s">
        <v>173</v>
      </c>
      <c r="H15" s="43">
        <f t="shared" si="2"/>
        <v>85</v>
      </c>
      <c r="I15" s="43">
        <f t="shared" si="1"/>
        <v>110.5</v>
      </c>
    </row>
    <row r="16" spans="1:9" s="44" customFormat="1" x14ac:dyDescent="0.25">
      <c r="A16" s="9">
        <v>12</v>
      </c>
      <c r="B16" s="9">
        <v>10</v>
      </c>
      <c r="C16" s="9"/>
      <c r="D16" s="40" t="s">
        <v>160</v>
      </c>
      <c r="E16" s="41">
        <v>50</v>
      </c>
      <c r="F16" s="42" t="s">
        <v>166</v>
      </c>
      <c r="G16" s="9" t="s">
        <v>174</v>
      </c>
      <c r="H16" s="43">
        <f t="shared" si="2"/>
        <v>500</v>
      </c>
      <c r="I16" s="43">
        <f t="shared" si="1"/>
        <v>650</v>
      </c>
    </row>
    <row r="17" spans="1:9" s="44" customFormat="1" ht="14.25" customHeight="1" x14ac:dyDescent="0.25">
      <c r="A17" s="9">
        <v>13</v>
      </c>
      <c r="B17" s="9">
        <v>1</v>
      </c>
      <c r="C17" s="9"/>
      <c r="D17" s="9" t="s">
        <v>148</v>
      </c>
      <c r="E17" s="41">
        <v>183.26</v>
      </c>
      <c r="F17" s="42" t="s">
        <v>167</v>
      </c>
      <c r="G17" s="9" t="s">
        <v>172</v>
      </c>
      <c r="H17" s="43">
        <f t="shared" si="2"/>
        <v>183.26</v>
      </c>
      <c r="I17" s="43">
        <f t="shared" si="1"/>
        <v>238.238</v>
      </c>
    </row>
    <row r="18" spans="1:9" s="44" customFormat="1" ht="15.75" customHeight="1" x14ac:dyDescent="0.25">
      <c r="A18" s="9">
        <v>14</v>
      </c>
      <c r="B18" s="9">
        <v>7</v>
      </c>
      <c r="C18" s="9"/>
      <c r="D18" s="40" t="s">
        <v>149</v>
      </c>
      <c r="E18" s="41">
        <v>10</v>
      </c>
      <c r="F18" s="42" t="s">
        <v>168</v>
      </c>
      <c r="G18" s="9" t="s">
        <v>172</v>
      </c>
      <c r="H18" s="43">
        <f t="shared" si="2"/>
        <v>70</v>
      </c>
      <c r="I18" s="43">
        <f t="shared" si="1"/>
        <v>91</v>
      </c>
    </row>
    <row r="19" spans="1:9" s="44" customFormat="1" ht="16.5" customHeight="1" x14ac:dyDescent="0.25">
      <c r="A19" s="9">
        <v>15</v>
      </c>
      <c r="B19" s="9">
        <v>14</v>
      </c>
      <c r="C19" s="9"/>
      <c r="D19" s="40" t="s">
        <v>178</v>
      </c>
      <c r="E19" s="41">
        <v>6</v>
      </c>
      <c r="F19" s="42" t="s">
        <v>169</v>
      </c>
      <c r="G19" s="9" t="s">
        <v>175</v>
      </c>
      <c r="H19" s="43">
        <f t="shared" si="2"/>
        <v>84</v>
      </c>
      <c r="I19" s="43">
        <f t="shared" si="1"/>
        <v>109.2</v>
      </c>
    </row>
    <row r="20" spans="1:9" s="44" customFormat="1" ht="15" customHeight="1" x14ac:dyDescent="0.25">
      <c r="A20" s="9">
        <v>16</v>
      </c>
      <c r="B20" s="9">
        <v>10</v>
      </c>
      <c r="C20" s="9"/>
      <c r="D20" s="40" t="s">
        <v>177</v>
      </c>
      <c r="E20" s="41">
        <v>14.5</v>
      </c>
      <c r="F20" s="42" t="s">
        <v>170</v>
      </c>
      <c r="G20" s="9" t="s">
        <v>175</v>
      </c>
      <c r="H20" s="43">
        <f t="shared" si="2"/>
        <v>145</v>
      </c>
      <c r="I20" s="43">
        <f t="shared" si="1"/>
        <v>188.5</v>
      </c>
    </row>
    <row r="21" spans="1:9" s="44" customFormat="1" x14ac:dyDescent="0.25">
      <c r="A21" s="9">
        <v>17</v>
      </c>
      <c r="B21" s="9">
        <v>1</v>
      </c>
      <c r="C21" s="9"/>
      <c r="D21" s="40" t="s">
        <v>176</v>
      </c>
      <c r="E21" s="41">
        <v>10</v>
      </c>
      <c r="F21" s="40"/>
      <c r="G21" s="9"/>
      <c r="H21" s="43">
        <f t="shared" si="2"/>
        <v>10</v>
      </c>
      <c r="I21" s="43">
        <f t="shared" si="1"/>
        <v>13</v>
      </c>
    </row>
    <row r="22" spans="1:9" s="44" customFormat="1" x14ac:dyDescent="0.25">
      <c r="A22" s="9">
        <v>18</v>
      </c>
      <c r="B22" s="9"/>
      <c r="C22" s="9"/>
      <c r="D22" s="9"/>
      <c r="E22" s="41"/>
      <c r="F22" s="40"/>
      <c r="G22" s="9"/>
      <c r="H22" s="43">
        <f t="shared" si="2"/>
        <v>0</v>
      </c>
      <c r="I22" s="43">
        <f t="shared" si="1"/>
        <v>0</v>
      </c>
    </row>
    <row r="23" spans="1:9" s="44" customFormat="1" x14ac:dyDescent="0.25">
      <c r="A23" s="9">
        <v>19</v>
      </c>
      <c r="B23" s="9"/>
      <c r="C23" s="9"/>
      <c r="D23" s="9"/>
      <c r="E23" s="41"/>
      <c r="F23" s="40"/>
      <c r="G23" s="9"/>
      <c r="H23" s="43">
        <f t="shared" si="2"/>
        <v>0</v>
      </c>
      <c r="I23" s="43">
        <f t="shared" si="1"/>
        <v>0</v>
      </c>
    </row>
    <row r="24" spans="1:9" x14ac:dyDescent="0.25">
      <c r="D24" s="9"/>
      <c r="E24" s="41"/>
      <c r="F24" s="40"/>
      <c r="G24" s="47"/>
      <c r="H24" s="48"/>
      <c r="I24" s="43">
        <f t="shared" si="1"/>
        <v>0</v>
      </c>
    </row>
    <row r="25" spans="1:9" ht="31.5" x14ac:dyDescent="0.5">
      <c r="G25" s="50" t="s">
        <v>47</v>
      </c>
      <c r="H25" s="51">
        <f>SUM(H5:H23)</f>
        <v>7611.26</v>
      </c>
      <c r="I25" s="51">
        <f>SUM(I5:I23)</f>
        <v>9894.6380000000008</v>
      </c>
    </row>
  </sheetData>
  <customSheetViews>
    <customSheetView guid="{B467761B-9E33-4ABB-8F30-EE7896AAF428}" topLeftCell="A13">
      <selection activeCell="F21" sqref="F21"/>
      <pageMargins left="0.7" right="0.7" top="0.75" bottom="0.75" header="0.3" footer="0.3"/>
    </customSheetView>
  </customSheetViews>
  <hyperlinks>
    <hyperlink ref="F5" r:id="rId1" location="intervention_type=full&amp;position=2&amp;search_layout=grid&amp;type=cart_intervention&amp;tracking_id=71ce98cf-33b2-4d6d-a7d7-1a7511312ac2" xr:uid="{E86E6F46-10B6-4DDD-BB48-F33ECE62790E}"/>
    <hyperlink ref="F7" r:id="rId2" xr:uid="{FB07B701-42A4-46E5-BD62-5DE73FE982C7}"/>
    <hyperlink ref="F9" r:id="rId3" xr:uid="{F5A83EAA-A3A4-4288-8579-D45DF04DAD3E}"/>
    <hyperlink ref="F11" r:id="rId4" xr:uid="{514A2CD8-E3C5-42A5-89A1-092B75339377}"/>
    <hyperlink ref="F12" r:id="rId5" location="polycard_client=search-desktop&amp;search_layout=grid&amp;position=6&amp;type=product&amp;tracking_id=323369b6-ca59-4db1-a301-2bed088fad1e&amp;wid=MLM2330687131&amp;sid=search" display="https://www.mercadolibre.com.mx/5-pzs-codo-ptubo-electrico-conduit-12-pared-delgada-argos/up/MLMU3220826280#polycard_client=search-desktop&amp;search_layout=grid&amp;position=6&amp;type=product&amp;tracking_id=323369b6-ca59-4db1-a301-2bed088fad1e&amp;wid=MLM2330687131&amp;sid=search" xr:uid="{F68C497D-16E9-4879-9A0B-2E310CC3C9C1}"/>
    <hyperlink ref="F13" r:id="rId6" location="polycard_client=search-desktop&amp;search_layout=grid&amp;position=5&amp;type=product&amp;tracking_id=8e838bd8-220b-48bb-86e7-74d7d2d8f1e0&amp;wid=MLM2330919125&amp;sid=search" display="https://www.mercadolibre.com.mx/10-pzs-cople-tipo-americano-pared-delgada-12-pulgada-argos/up/MLMU3221255460#polycard_client=search-desktop&amp;search_layout=grid&amp;position=5&amp;type=product&amp;tracking_id=8e838bd8-220b-48bb-86e7-74d7d2d8f1e0&amp;wid=MLM2330919125&amp;sid=search" xr:uid="{6018EAB2-89BD-4388-9902-FC3B92330F4B}"/>
    <hyperlink ref="F14" r:id="rId7" location="polycard_client=search-desktop&amp;search_layout=grid&amp;position=12&amp;type=item&amp;tracking_id=dbbea721-7382-4a75-937a-5cb86d5b408f&amp;wid=MLM3261640688&amp;sid=search" display="https://articulo.mercadolibre.com.mx/MLM-3261640688-conector-conduit-pared-delgada-acero-galvanizado-12-5-pzas-_JM#polycard_client=search-desktop&amp;search_layout=grid&amp;position=12&amp;type=item&amp;tracking_id=dbbea721-7382-4a75-937a-5cb86d5b408f&amp;wid=MLM3261640688&amp;sid=search" xr:uid="{D3FBAE0F-3A51-49A4-9E1E-960B549BB1AF}"/>
    <hyperlink ref="F15" r:id="rId8" location="polycard_client=search-desktop&amp;search_layout=grid&amp;position=31&amp;type=product&amp;tracking_id=c04a1414-b3f3-4917-9914-aeaf7e5e5abe&amp;wid=MLM725921615&amp;sid=search" xr:uid="{B147AF4C-7077-4B85-8697-7A9FE9C1A3F7}"/>
    <hyperlink ref="F16" r:id="rId9" xr:uid="{C43903EC-283F-4785-9D03-3C2F8864F47E}"/>
    <hyperlink ref="F17" r:id="rId10" xr:uid="{02796A51-9B90-4005-BD46-A78A38907270}"/>
    <hyperlink ref="F18" r:id="rId11" xr:uid="{4FA028CC-07AC-47AE-BE3D-46E0CA78BF94}"/>
    <hyperlink ref="F19" r:id="rId12" xr:uid="{C4D3F471-AB6D-4FEA-B2FC-3133BEDBA296}"/>
    <hyperlink ref="F20" r:id="rId13" location="polycard_client=search-desktop&amp;search_layout=grid&amp;position=2&amp;type=item&amp;tracking_id=d8e4ec02-3de4-4fe4-99b5-87802ee8790e&amp;wid=MLM4253948562&amp;sid=search" display="https://articulo.mercadolibre.com.mx/MLM-4253948562-10-piezas-conector-rapido-cableado-electrico-28-12-awg-1-via-_JM#polycard_client=search-desktop&amp;search_layout=grid&amp;position=2&amp;type=item&amp;tracking_id=d8e4ec02-3de4-4fe4-99b5-87802ee8790e&amp;wid=MLM4253948562&amp;sid=search" xr:uid="{08BFE6A7-D7FA-497B-8454-FAD831A813BB}"/>
  </hyperlinks>
  <pageMargins left="0.7" right="0.7" top="0.75" bottom="0.75" header="0.3" footer="0.3"/>
  <pageSetup paperSize="9" orientation="portrait"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135B-529D-4384-827F-EADA358EA387}">
  <dimension ref="A1:P55"/>
  <sheetViews>
    <sheetView showWhiteSpace="0" view="pageLayout" zoomScaleNormal="100" workbookViewId="0">
      <selection activeCell="I33" sqref="A1:P49"/>
    </sheetView>
  </sheetViews>
  <sheetFormatPr baseColWidth="10" defaultRowHeight="15" x14ac:dyDescent="0.25"/>
  <cols>
    <col min="1" max="1" width="11.42578125" customWidth="1"/>
    <col min="6" max="6" width="11.85546875" bestFit="1" customWidth="1"/>
    <col min="7" max="7" width="12.42578125" customWidth="1"/>
    <col min="8" max="8" width="12.5703125" customWidth="1"/>
  </cols>
  <sheetData>
    <row r="1" spans="1:16" x14ac:dyDescent="0.25">
      <c r="A1" s="85"/>
      <c r="B1" s="86"/>
      <c r="C1" s="86"/>
      <c r="D1" s="86"/>
      <c r="E1" s="86"/>
      <c r="F1" s="86"/>
      <c r="G1" s="86"/>
      <c r="H1" s="87"/>
    </row>
    <row r="2" spans="1:16" x14ac:dyDescent="0.25">
      <c r="A2" s="88"/>
      <c r="H2" s="89"/>
    </row>
    <row r="3" spans="1:16" x14ac:dyDescent="0.25">
      <c r="A3" s="88"/>
      <c r="H3" s="89"/>
    </row>
    <row r="4" spans="1:16" x14ac:dyDescent="0.25">
      <c r="A4" s="88"/>
      <c r="H4" s="89"/>
    </row>
    <row r="5" spans="1:16" ht="15.75" thickBot="1" x14ac:dyDescent="0.3">
      <c r="A5" s="88"/>
      <c r="H5" s="89"/>
    </row>
    <row r="6" spans="1:16" ht="15.75" customHeight="1" thickBot="1" x14ac:dyDescent="0.3">
      <c r="A6" s="143"/>
      <c r="B6" s="144"/>
      <c r="C6" s="144"/>
      <c r="D6" s="145" t="s">
        <v>136</v>
      </c>
      <c r="E6" s="145"/>
      <c r="F6" s="145"/>
      <c r="G6" s="146">
        <f ca="1">TODAY()</f>
        <v>46049</v>
      </c>
      <c r="H6" s="147"/>
      <c r="I6" s="144"/>
      <c r="J6" s="144"/>
      <c r="K6" s="156"/>
      <c r="L6" s="168" t="str">
        <f>D6</f>
        <v>FOLIO: SP-A260121</v>
      </c>
      <c r="M6" s="169"/>
      <c r="N6" s="170"/>
      <c r="O6" s="153">
        <f ca="1">TODAY()</f>
        <v>46049</v>
      </c>
      <c r="P6" s="154"/>
    </row>
    <row r="7" spans="1:16" ht="15.75" thickBot="1" x14ac:dyDescent="0.3">
      <c r="A7" s="135"/>
      <c r="B7" s="136"/>
      <c r="C7" s="136"/>
      <c r="D7" s="90" t="s">
        <v>59</v>
      </c>
      <c r="E7" s="136" t="s">
        <v>133</v>
      </c>
      <c r="F7" s="136"/>
      <c r="G7" s="136"/>
      <c r="H7" s="148"/>
      <c r="I7" s="136"/>
      <c r="J7" s="136"/>
      <c r="K7" s="148"/>
      <c r="L7" s="91" t="s">
        <v>59</v>
      </c>
      <c r="M7" s="164" t="str">
        <f>E7</f>
        <v>Serviacero Comercial</v>
      </c>
      <c r="N7" s="164"/>
      <c r="O7" s="164"/>
      <c r="P7" s="165"/>
    </row>
    <row r="8" spans="1:16" ht="15" customHeight="1" x14ac:dyDescent="0.25">
      <c r="A8" s="135"/>
      <c r="B8" s="136"/>
      <c r="C8" s="136"/>
      <c r="D8" s="152" t="s">
        <v>48</v>
      </c>
      <c r="E8" s="149" t="s">
        <v>134</v>
      </c>
      <c r="F8" s="149"/>
      <c r="G8" s="149"/>
      <c r="H8" s="150"/>
      <c r="I8" s="136"/>
      <c r="J8" s="136"/>
      <c r="K8" s="148"/>
      <c r="L8" s="155" t="s">
        <v>48</v>
      </c>
      <c r="M8" s="160" t="str">
        <f>E8</f>
        <v>Cto. Oleoducto 212, Ciudad Industrial, 37490 León de los Aldama, Gto.</v>
      </c>
      <c r="N8" s="160"/>
      <c r="O8" s="160"/>
      <c r="P8" s="161"/>
    </row>
    <row r="9" spans="1:16" ht="15.75" thickBot="1" x14ac:dyDescent="0.3">
      <c r="A9" s="135"/>
      <c r="B9" s="136"/>
      <c r="C9" s="136"/>
      <c r="D9" s="152"/>
      <c r="E9" s="149"/>
      <c r="F9" s="149"/>
      <c r="G9" s="149"/>
      <c r="H9" s="150"/>
      <c r="I9" s="136"/>
      <c r="J9" s="136"/>
      <c r="K9" s="148"/>
      <c r="L9" s="155"/>
      <c r="M9" s="162"/>
      <c r="N9" s="162"/>
      <c r="O9" s="162"/>
      <c r="P9" s="163"/>
    </row>
    <row r="10" spans="1:16" ht="15.75" thickBot="1" x14ac:dyDescent="0.3">
      <c r="A10" s="135"/>
      <c r="B10" s="136"/>
      <c r="C10" s="136"/>
      <c r="D10" s="90" t="s">
        <v>60</v>
      </c>
      <c r="E10" s="136" t="s">
        <v>135</v>
      </c>
      <c r="F10" s="136"/>
      <c r="G10" s="136"/>
      <c r="H10" s="148"/>
      <c r="I10" s="136"/>
      <c r="J10" s="136"/>
      <c r="K10" s="148"/>
      <c r="L10" s="91" t="s">
        <v>60</v>
      </c>
      <c r="M10" s="164" t="str">
        <f>E10</f>
        <v xml:space="preserve">Ing. Alejandro Bocanegra  </v>
      </c>
      <c r="N10" s="164"/>
      <c r="O10" s="164"/>
      <c r="P10" s="165"/>
    </row>
    <row r="11" spans="1:16" ht="15.75" thickBot="1" x14ac:dyDescent="0.3">
      <c r="A11" s="135"/>
      <c r="B11" s="136"/>
      <c r="C11" s="136"/>
      <c r="D11" s="90" t="s">
        <v>49</v>
      </c>
      <c r="E11" s="151"/>
      <c r="F11" s="136"/>
      <c r="G11" s="136"/>
      <c r="H11" s="148"/>
      <c r="I11" s="136"/>
      <c r="J11" s="136"/>
      <c r="K11" s="148"/>
      <c r="L11" s="91" t="s">
        <v>49</v>
      </c>
      <c r="M11" s="164"/>
      <c r="N11" s="164"/>
      <c r="O11" s="164"/>
      <c r="P11" s="165"/>
    </row>
    <row r="12" spans="1:16" ht="15.75" thickBot="1" x14ac:dyDescent="0.3">
      <c r="A12" s="135"/>
      <c r="B12" s="136"/>
      <c r="C12" s="136"/>
      <c r="D12" s="90" t="s">
        <v>61</v>
      </c>
      <c r="E12" s="136"/>
      <c r="F12" s="136"/>
      <c r="G12" s="136"/>
      <c r="H12" s="148"/>
      <c r="I12" s="157"/>
      <c r="J12" s="157"/>
      <c r="K12" s="158"/>
      <c r="L12" s="92" t="s">
        <v>61</v>
      </c>
      <c r="M12" s="166"/>
      <c r="N12" s="166"/>
      <c r="O12" s="166"/>
      <c r="P12" s="167"/>
    </row>
    <row r="13" spans="1:16" ht="15.75" customHeight="1" thickBot="1" x14ac:dyDescent="0.3">
      <c r="A13" s="93" t="s">
        <v>50</v>
      </c>
      <c r="B13" s="127" t="s">
        <v>51</v>
      </c>
      <c r="C13" s="127"/>
      <c r="D13" s="127"/>
      <c r="E13" s="127"/>
      <c r="F13" s="127"/>
      <c r="G13" s="94" t="s">
        <v>43</v>
      </c>
      <c r="H13" s="95" t="s">
        <v>52</v>
      </c>
      <c r="I13" s="176" t="s">
        <v>71</v>
      </c>
      <c r="J13" s="176"/>
      <c r="K13" s="176"/>
      <c r="L13" s="176"/>
      <c r="M13" s="176"/>
      <c r="N13" s="176"/>
      <c r="O13" s="176"/>
      <c r="P13" s="177"/>
    </row>
    <row r="14" spans="1:16" ht="15" customHeight="1" x14ac:dyDescent="0.25">
      <c r="A14" s="96"/>
      <c r="B14" s="128" t="s">
        <v>64</v>
      </c>
      <c r="C14" s="128"/>
      <c r="D14" s="128"/>
      <c r="E14" s="128"/>
      <c r="F14" s="128"/>
      <c r="G14" s="122">
        <f>Materiales!I25</f>
        <v>9894.6380000000008</v>
      </c>
      <c r="H14" s="122">
        <f>G14</f>
        <v>9894.6380000000008</v>
      </c>
      <c r="P14" s="89"/>
    </row>
    <row r="15" spans="1:16" ht="15" customHeight="1" x14ac:dyDescent="0.25">
      <c r="A15" s="97">
        <f>Materiales!B5</f>
        <v>1</v>
      </c>
      <c r="B15" s="123" t="str">
        <f>Materiales!D5</f>
        <v>Base de con resorte para encoder de medida</v>
      </c>
      <c r="C15" s="123"/>
      <c r="D15" s="123"/>
      <c r="E15" s="123"/>
      <c r="F15" s="123"/>
      <c r="G15" s="122"/>
      <c r="H15" s="122"/>
      <c r="P15" s="89"/>
    </row>
    <row r="16" spans="1:16" ht="15" customHeight="1" x14ac:dyDescent="0.25">
      <c r="A16" s="97">
        <f>Materiales!B6</f>
        <v>1</v>
      </c>
      <c r="B16" s="123" t="str">
        <f>Materiales!D6</f>
        <v xml:space="preserve">Rueda de medida de encoder </v>
      </c>
      <c r="C16" s="123"/>
      <c r="D16" s="123"/>
      <c r="E16" s="123"/>
      <c r="F16" s="123"/>
      <c r="G16" s="122"/>
      <c r="H16" s="122"/>
      <c r="P16" s="89"/>
    </row>
    <row r="17" spans="1:16" ht="15" customHeight="1" x14ac:dyDescent="0.25">
      <c r="A17" s="97">
        <f>Materiales!B7</f>
        <v>1</v>
      </c>
      <c r="B17" s="123" t="str">
        <f>Materiales!D7</f>
        <v xml:space="preserve">SSoporte, perfil de aluminio  45x45mm  para base de encoder  </v>
      </c>
      <c r="C17" s="123"/>
      <c r="D17" s="123"/>
      <c r="E17" s="123"/>
      <c r="F17" s="123"/>
      <c r="G17" s="122"/>
      <c r="H17" s="122"/>
      <c r="P17" s="89"/>
    </row>
    <row r="18" spans="1:16" x14ac:dyDescent="0.25">
      <c r="A18" s="97">
        <f>Materiales!B8</f>
        <v>1</v>
      </c>
      <c r="B18" s="123" t="str">
        <f>Materiales!D8</f>
        <v xml:space="preserve">Tornilleria para fijacion y ensamble </v>
      </c>
      <c r="C18" s="123"/>
      <c r="D18" s="123"/>
      <c r="E18" s="123"/>
      <c r="F18" s="123"/>
      <c r="G18" s="122"/>
      <c r="H18" s="122"/>
      <c r="P18" s="89"/>
    </row>
    <row r="19" spans="1:16" ht="15" customHeight="1" x14ac:dyDescent="0.25">
      <c r="A19" s="97">
        <f>Materiales!B9</f>
        <v>4</v>
      </c>
      <c r="B19" s="123" t="str">
        <f>Materiales!D9</f>
        <v xml:space="preserve">Barrenanclas 3/8" </v>
      </c>
      <c r="C19" s="123"/>
      <c r="D19" s="123"/>
      <c r="E19" s="123"/>
      <c r="F19" s="123"/>
      <c r="G19" s="122"/>
      <c r="H19" s="122"/>
      <c r="P19" s="89"/>
    </row>
    <row r="20" spans="1:16" ht="15" customHeight="1" x14ac:dyDescent="0.25">
      <c r="A20" s="97">
        <f>Materiales!B10</f>
        <v>1</v>
      </c>
      <c r="B20" s="123" t="str">
        <f>Materiales!D10</f>
        <v xml:space="preserve">Escuadras para perfil de aluminio 45 x45 </v>
      </c>
      <c r="C20" s="123"/>
      <c r="D20" s="123"/>
      <c r="E20" s="123"/>
      <c r="F20" s="123"/>
      <c r="G20" s="122"/>
      <c r="H20" s="122"/>
      <c r="P20" s="89"/>
    </row>
    <row r="21" spans="1:16" ht="15" customHeight="1" x14ac:dyDescent="0.25">
      <c r="A21" s="97">
        <f>Materiales!B11</f>
        <v>4</v>
      </c>
      <c r="B21" s="123" t="str">
        <f>Materiales!D11</f>
        <v>Tubo Conduit 1/2" pared delgada (1 mm), et. verde, 3 m</v>
      </c>
      <c r="C21" s="123"/>
      <c r="D21" s="123"/>
      <c r="E21" s="123"/>
      <c r="F21" s="123"/>
      <c r="G21" s="122"/>
      <c r="H21" s="122"/>
      <c r="P21" s="89"/>
    </row>
    <row r="22" spans="1:16" ht="15" customHeight="1" x14ac:dyDescent="0.25">
      <c r="A22" s="97">
        <f>Materiales!B12</f>
        <v>5</v>
      </c>
      <c r="B22" s="123" t="str">
        <f>Materiales!D12</f>
        <v>Codos etiqueta verde de 1/2"</v>
      </c>
      <c r="C22" s="123"/>
      <c r="D22" s="123"/>
      <c r="E22" s="123"/>
      <c r="F22" s="123"/>
      <c r="G22" s="122"/>
      <c r="H22" s="122"/>
      <c r="P22" s="89"/>
    </row>
    <row r="23" spans="1:16" ht="15" customHeight="1" x14ac:dyDescent="0.25">
      <c r="A23" s="97">
        <f>Materiales!B13</f>
        <v>10</v>
      </c>
      <c r="B23" s="123" t="str">
        <f>Materiales!D13</f>
        <v>Cople Tipo Americano Pared Delgada 1/2 "</v>
      </c>
      <c r="C23" s="123"/>
      <c r="D23" s="123"/>
      <c r="E23" s="123"/>
      <c r="F23" s="123"/>
      <c r="G23" s="122"/>
      <c r="H23" s="122"/>
      <c r="P23" s="89"/>
    </row>
    <row r="24" spans="1:16" ht="15" customHeight="1" x14ac:dyDescent="0.25">
      <c r="A24" s="97">
        <f>Materiales!B14</f>
        <v>5</v>
      </c>
      <c r="B24" s="123" t="str">
        <f>Materiales!D14</f>
        <v xml:space="preserve">Conector Conduit  1/2" </v>
      </c>
      <c r="C24" s="123"/>
      <c r="D24" s="123"/>
      <c r="E24" s="123"/>
      <c r="F24" s="123"/>
      <c r="G24" s="122"/>
      <c r="H24" s="122"/>
      <c r="P24" s="89"/>
    </row>
    <row r="25" spans="1:16" ht="15" customHeight="1" x14ac:dyDescent="0.25">
      <c r="A25" s="97">
        <f>Materiales!B15</f>
        <v>1</v>
      </c>
      <c r="B25" s="123" t="str">
        <f>Materiales!D15</f>
        <v>Caja De Registro Estanca IP55 8x8x4.5</v>
      </c>
      <c r="C25" s="123"/>
      <c r="D25" s="123"/>
      <c r="E25" s="123"/>
      <c r="F25" s="123"/>
      <c r="G25" s="122"/>
      <c r="H25" s="122"/>
      <c r="P25" s="89"/>
    </row>
    <row r="26" spans="1:16" ht="15" customHeight="1" x14ac:dyDescent="0.25">
      <c r="A26" s="97">
        <f>Materiales!B16</f>
        <v>10</v>
      </c>
      <c r="B26" s="123" t="str">
        <f>Materiales!D16</f>
        <v xml:space="preserve">Metros cable control 5 x 20 awg 0.50mm2 </v>
      </c>
      <c r="C26" s="123"/>
      <c r="D26" s="123"/>
      <c r="E26" s="123"/>
      <c r="F26" s="123"/>
      <c r="G26" s="122"/>
      <c r="H26" s="122"/>
      <c r="P26" s="89"/>
    </row>
    <row r="27" spans="1:16" ht="15" customHeight="1" x14ac:dyDescent="0.25">
      <c r="A27" s="97">
        <f>Materiales!B17</f>
        <v>1</v>
      </c>
      <c r="B27" s="123" t="str">
        <f>Materiales!D17</f>
        <v>Riel unicanal</v>
      </c>
      <c r="C27" s="123"/>
      <c r="D27" s="123"/>
      <c r="E27" s="123"/>
      <c r="F27" s="123"/>
      <c r="G27" s="122"/>
      <c r="H27" s="122"/>
      <c r="P27" s="89"/>
    </row>
    <row r="28" spans="1:16" ht="15" customHeight="1" x14ac:dyDescent="0.25">
      <c r="A28" s="97">
        <f>Materiales!B18</f>
        <v>7</v>
      </c>
      <c r="B28" s="123" t="str">
        <f>Materiales!D18</f>
        <v>Abrazaderas unicanal</v>
      </c>
      <c r="C28" s="123"/>
      <c r="D28" s="123"/>
      <c r="E28" s="123"/>
      <c r="F28" s="123"/>
      <c r="G28" s="122"/>
      <c r="H28" s="122"/>
      <c r="P28" s="89"/>
    </row>
    <row r="29" spans="1:16" ht="15" customHeight="1" x14ac:dyDescent="0.25">
      <c r="A29" s="97">
        <f>Materiales!B19</f>
        <v>14</v>
      </c>
      <c r="B29" s="123" t="str">
        <f>Materiales!D19</f>
        <v>Taquete arpon  1/4X2-1/4</v>
      </c>
      <c r="C29" s="123"/>
      <c r="D29" s="123"/>
      <c r="E29" s="123"/>
      <c r="F29" s="123"/>
      <c r="G29" s="122"/>
      <c r="H29" s="122"/>
      <c r="P29" s="89"/>
    </row>
    <row r="30" spans="1:16" ht="15" customHeight="1" x14ac:dyDescent="0.25">
      <c r="A30" s="97">
        <f>Materiales!B20</f>
        <v>10</v>
      </c>
      <c r="B30" s="123" t="str">
        <f>Materiales!D20</f>
        <v>Conector Rapido Cableado Electrico 28-12 Awg 1 Via</v>
      </c>
      <c r="C30" s="123"/>
      <c r="D30" s="123"/>
      <c r="E30" s="123"/>
      <c r="F30" s="123"/>
      <c r="G30" s="122"/>
      <c r="H30" s="122"/>
      <c r="P30" s="89"/>
    </row>
    <row r="31" spans="1:16" ht="15" customHeight="1" x14ac:dyDescent="0.25">
      <c r="A31" s="97">
        <f>Materiales!B21</f>
        <v>1</v>
      </c>
      <c r="B31" s="123" t="str">
        <f>Materiales!D21</f>
        <v>Cople etiqueta amarilla 1/2"</v>
      </c>
      <c r="C31" s="123"/>
      <c r="D31" s="123"/>
      <c r="E31" s="123"/>
      <c r="F31" s="123"/>
      <c r="G31" s="98"/>
      <c r="H31" s="99"/>
      <c r="P31" s="89"/>
    </row>
    <row r="32" spans="1:16" ht="15" customHeight="1" x14ac:dyDescent="0.25">
      <c r="A32" s="97"/>
      <c r="B32" s="128" t="s">
        <v>131</v>
      </c>
      <c r="C32" s="128"/>
      <c r="D32" s="128"/>
      <c r="E32" s="128"/>
      <c r="F32" s="128"/>
      <c r="G32" s="98"/>
      <c r="H32" s="99"/>
      <c r="P32" s="89"/>
    </row>
    <row r="33" spans="1:16" ht="14.25" customHeight="1" x14ac:dyDescent="0.25">
      <c r="A33" s="96"/>
      <c r="B33" s="123" t="s">
        <v>132</v>
      </c>
      <c r="C33" s="123"/>
      <c r="D33" s="123"/>
      <c r="E33" s="123"/>
      <c r="F33" s="123"/>
      <c r="G33" s="122">
        <f>Costos!L19</f>
        <v>8675.6436500000018</v>
      </c>
      <c r="H33" s="125">
        <f>G33</f>
        <v>8675.6436500000018</v>
      </c>
      <c r="I33" s="171"/>
      <c r="J33" s="172"/>
      <c r="K33" s="172"/>
      <c r="L33" s="172"/>
      <c r="M33" s="172"/>
      <c r="N33" s="172"/>
      <c r="O33" s="172"/>
      <c r="P33" s="173"/>
    </row>
    <row r="34" spans="1:16" x14ac:dyDescent="0.25">
      <c r="A34" s="97"/>
      <c r="B34" s="123"/>
      <c r="C34" s="123"/>
      <c r="D34" s="123"/>
      <c r="E34" s="123"/>
      <c r="F34" s="123"/>
      <c r="G34" s="122"/>
      <c r="H34" s="125"/>
      <c r="I34" s="172"/>
      <c r="J34" s="172"/>
      <c r="K34" s="172"/>
      <c r="L34" s="172"/>
      <c r="M34" s="172"/>
      <c r="N34" s="172"/>
      <c r="O34" s="172"/>
      <c r="P34" s="173"/>
    </row>
    <row r="35" spans="1:16" ht="15" customHeight="1" x14ac:dyDescent="0.25">
      <c r="A35" s="181"/>
      <c r="B35" s="182" t="s">
        <v>180</v>
      </c>
      <c r="C35" s="182"/>
      <c r="D35" s="182"/>
      <c r="E35" s="182"/>
      <c r="F35" s="182"/>
      <c r="G35" s="122"/>
      <c r="H35" s="125"/>
      <c r="I35" s="172"/>
      <c r="J35" s="172"/>
      <c r="K35" s="172"/>
      <c r="L35" s="172"/>
      <c r="M35" s="172"/>
      <c r="N35" s="172"/>
      <c r="O35" s="172"/>
      <c r="P35" s="173"/>
    </row>
    <row r="36" spans="1:16" ht="17.25" customHeight="1" thickBot="1" x14ac:dyDescent="0.3">
      <c r="A36" s="181"/>
      <c r="B36" s="189" t="s">
        <v>181</v>
      </c>
      <c r="C36" s="189"/>
      <c r="D36" s="189"/>
      <c r="E36" s="189"/>
      <c r="F36" s="189"/>
      <c r="G36" s="124"/>
      <c r="H36" s="126"/>
      <c r="I36" s="172"/>
      <c r="J36" s="172"/>
      <c r="K36" s="172"/>
      <c r="L36" s="172"/>
      <c r="M36" s="172"/>
      <c r="N36" s="172"/>
      <c r="O36" s="172"/>
      <c r="P36" s="173"/>
    </row>
    <row r="37" spans="1:16" ht="16.5" thickBot="1" x14ac:dyDescent="0.3">
      <c r="A37" s="186" t="s">
        <v>53</v>
      </c>
      <c r="B37" s="187"/>
      <c r="C37" s="187"/>
      <c r="D37" s="187"/>
      <c r="E37" s="188"/>
      <c r="F37" s="86"/>
      <c r="G37" s="100" t="s">
        <v>54</v>
      </c>
      <c r="H37" s="101">
        <f>SUM(H14:H36)</f>
        <v>18570.281650000004</v>
      </c>
      <c r="I37" s="172"/>
      <c r="J37" s="172"/>
      <c r="K37" s="172"/>
      <c r="L37" s="172"/>
      <c r="M37" s="172"/>
      <c r="N37" s="172"/>
      <c r="O37" s="172"/>
      <c r="P37" s="173"/>
    </row>
    <row r="38" spans="1:16" ht="16.5" thickBot="1" x14ac:dyDescent="0.3">
      <c r="A38" s="178" t="s">
        <v>142</v>
      </c>
      <c r="B38" s="179"/>
      <c r="C38" s="179"/>
      <c r="D38" s="179"/>
      <c r="E38" s="180"/>
      <c r="G38" s="102" t="s">
        <v>55</v>
      </c>
      <c r="H38" s="103">
        <f>H37*0.16</f>
        <v>2971.2450640000006</v>
      </c>
      <c r="I38" s="172"/>
      <c r="J38" s="172"/>
      <c r="K38" s="172"/>
      <c r="L38" s="172"/>
      <c r="M38" s="172"/>
      <c r="N38" s="172"/>
      <c r="O38" s="172"/>
      <c r="P38" s="173"/>
    </row>
    <row r="39" spans="1:16" ht="16.5" thickBot="1" x14ac:dyDescent="0.3">
      <c r="A39" s="129" t="s">
        <v>143</v>
      </c>
      <c r="B39" s="130"/>
      <c r="C39" s="130"/>
      <c r="D39" s="130"/>
      <c r="E39" s="131"/>
      <c r="G39" s="102"/>
      <c r="H39" s="103"/>
      <c r="I39" s="172"/>
      <c r="J39" s="172"/>
      <c r="K39" s="172"/>
      <c r="L39" s="172"/>
      <c r="M39" s="172"/>
      <c r="N39" s="172"/>
      <c r="O39" s="172"/>
      <c r="P39" s="173"/>
    </row>
    <row r="40" spans="1:16" ht="16.5" thickBot="1" x14ac:dyDescent="0.3">
      <c r="A40" s="178" t="s">
        <v>144</v>
      </c>
      <c r="B40" s="179"/>
      <c r="C40" s="179"/>
      <c r="D40" s="179"/>
      <c r="E40" s="180"/>
      <c r="G40" s="102"/>
      <c r="H40" s="104"/>
      <c r="I40" s="172"/>
      <c r="J40" s="172"/>
      <c r="K40" s="172"/>
      <c r="L40" s="172"/>
      <c r="M40" s="172"/>
      <c r="N40" s="172"/>
      <c r="O40" s="172"/>
      <c r="P40" s="173"/>
    </row>
    <row r="41" spans="1:16" ht="15" customHeight="1" thickBot="1" x14ac:dyDescent="0.3">
      <c r="A41" s="129" t="s">
        <v>145</v>
      </c>
      <c r="B41" s="130"/>
      <c r="C41" s="130"/>
      <c r="D41" s="130"/>
      <c r="E41" s="131"/>
      <c r="G41" s="192" t="s">
        <v>56</v>
      </c>
      <c r="H41" s="190">
        <f>SUM(H37:H40)</f>
        <v>21541.526714000007</v>
      </c>
      <c r="I41" s="172"/>
      <c r="J41" s="172"/>
      <c r="K41" s="172"/>
      <c r="L41" s="172"/>
      <c r="M41" s="172"/>
      <c r="N41" s="172"/>
      <c r="O41" s="172"/>
      <c r="P41" s="173"/>
    </row>
    <row r="42" spans="1:16" ht="15.75" customHeight="1" x14ac:dyDescent="0.25">
      <c r="A42" s="183" t="s">
        <v>146</v>
      </c>
      <c r="B42" s="184"/>
      <c r="C42" s="184"/>
      <c r="D42" s="184"/>
      <c r="E42" s="185"/>
      <c r="G42" s="193"/>
      <c r="H42" s="191"/>
      <c r="I42" s="172"/>
      <c r="J42" s="172"/>
      <c r="K42" s="172"/>
      <c r="L42" s="172"/>
      <c r="M42" s="172"/>
      <c r="N42" s="172"/>
      <c r="O42" s="172"/>
      <c r="P42" s="173"/>
    </row>
    <row r="43" spans="1:16" ht="15.75" customHeight="1" x14ac:dyDescent="0.25">
      <c r="A43" s="140" t="s">
        <v>57</v>
      </c>
      <c r="B43" s="141"/>
      <c r="C43" s="141"/>
      <c r="D43" s="141"/>
      <c r="E43" s="141"/>
      <c r="F43" s="141"/>
      <c r="G43" s="141"/>
      <c r="H43" s="142"/>
      <c r="I43" s="172"/>
      <c r="J43" s="172"/>
      <c r="K43" s="172"/>
      <c r="L43" s="172"/>
      <c r="M43" s="172"/>
      <c r="N43" s="172"/>
      <c r="O43" s="172"/>
      <c r="P43" s="173"/>
    </row>
    <row r="44" spans="1:16" ht="13.5" customHeight="1" x14ac:dyDescent="0.25">
      <c r="A44" s="137" t="s">
        <v>74</v>
      </c>
      <c r="B44" s="138"/>
      <c r="C44" s="138"/>
      <c r="D44" s="138"/>
      <c r="E44" s="138"/>
      <c r="F44" s="138"/>
      <c r="G44" s="138"/>
      <c r="H44" s="139"/>
      <c r="I44" s="172"/>
      <c r="J44" s="172"/>
      <c r="K44" s="172"/>
      <c r="L44" s="172"/>
      <c r="M44" s="172"/>
      <c r="N44" s="172"/>
      <c r="O44" s="172"/>
      <c r="P44" s="173"/>
    </row>
    <row r="45" spans="1:16" ht="14.25" customHeight="1" x14ac:dyDescent="0.25">
      <c r="A45" s="137"/>
      <c r="B45" s="138"/>
      <c r="C45" s="138"/>
      <c r="D45" s="138"/>
      <c r="E45" s="138"/>
      <c r="F45" s="138"/>
      <c r="G45" s="138"/>
      <c r="H45" s="139"/>
      <c r="I45" s="172"/>
      <c r="J45" s="172"/>
      <c r="K45" s="172"/>
      <c r="L45" s="172"/>
      <c r="M45" s="172"/>
      <c r="N45" s="172"/>
      <c r="O45" s="172"/>
      <c r="P45" s="173"/>
    </row>
    <row r="46" spans="1:16" x14ac:dyDescent="0.25">
      <c r="A46" s="132" t="s">
        <v>179</v>
      </c>
      <c r="B46" s="133"/>
      <c r="C46" s="133"/>
      <c r="D46" s="133"/>
      <c r="E46" s="133"/>
      <c r="F46" s="133"/>
      <c r="G46" s="133"/>
      <c r="H46" s="134"/>
      <c r="I46" s="172"/>
      <c r="J46" s="172"/>
      <c r="K46" s="172"/>
      <c r="L46" s="172"/>
      <c r="M46" s="172"/>
      <c r="N46" s="172"/>
      <c r="O46" s="172"/>
      <c r="P46" s="173"/>
    </row>
    <row r="47" spans="1:16" ht="15" customHeight="1" x14ac:dyDescent="0.25">
      <c r="A47" s="88"/>
      <c r="H47" s="89"/>
      <c r="I47" s="172"/>
      <c r="J47" s="172"/>
      <c r="K47" s="172"/>
      <c r="L47" s="172"/>
      <c r="M47" s="172"/>
      <c r="N47" s="172"/>
      <c r="O47" s="172"/>
      <c r="P47" s="173"/>
    </row>
    <row r="48" spans="1:16" x14ac:dyDescent="0.25">
      <c r="A48" s="135" t="s">
        <v>72</v>
      </c>
      <c r="B48" s="136"/>
      <c r="C48" t="s">
        <v>62</v>
      </c>
      <c r="D48" s="151" t="s">
        <v>63</v>
      </c>
      <c r="E48" s="151"/>
      <c r="G48" s="136" t="s">
        <v>58</v>
      </c>
      <c r="H48" s="148"/>
      <c r="I48" s="172"/>
      <c r="J48" s="172"/>
      <c r="K48" s="172"/>
      <c r="L48" s="172"/>
      <c r="M48" s="172"/>
      <c r="N48" s="172"/>
      <c r="O48" s="172"/>
      <c r="P48" s="173"/>
    </row>
    <row r="49" spans="1:16" ht="15.75" thickBot="1" x14ac:dyDescent="0.3">
      <c r="A49" s="105"/>
      <c r="B49" s="106"/>
      <c r="C49" s="106"/>
      <c r="D49" s="106"/>
      <c r="E49" s="106"/>
      <c r="F49" s="106"/>
      <c r="G49" s="106"/>
      <c r="H49" s="107"/>
      <c r="I49" s="174"/>
      <c r="J49" s="174"/>
      <c r="K49" s="174"/>
      <c r="L49" s="174"/>
      <c r="M49" s="174"/>
      <c r="N49" s="174"/>
      <c r="O49" s="174"/>
      <c r="P49" s="175"/>
    </row>
    <row r="51" spans="1:16" x14ac:dyDescent="0.25">
      <c r="I51" s="136"/>
      <c r="J51" s="136"/>
      <c r="L51" s="159"/>
      <c r="M51" s="159"/>
      <c r="O51" s="136"/>
      <c r="P51" s="136"/>
    </row>
    <row r="52" spans="1:16" x14ac:dyDescent="0.25">
      <c r="P52" t="s">
        <v>73</v>
      </c>
    </row>
    <row r="55" spans="1:16" x14ac:dyDescent="0.25">
      <c r="F55" s="54"/>
    </row>
  </sheetData>
  <customSheetViews>
    <customSheetView guid="{B467761B-9E33-4ABB-8F30-EE7896AAF428}" showPageBreaks="1">
      <selection activeCell="C18" sqref="C18"/>
      <pageMargins left="0.7" right="0.7" top="0.75" bottom="0.75" header="0.3" footer="0.3"/>
      <pageSetup paperSize="9" orientation="portrait" r:id="rId1"/>
      <headerFooter differentOddEven="1" differentFirst="1">
        <oddFooter>&amp;L
Ing. Daniel Zúñiga&amp;Cventass@ssepi.org&amp;R477 737 3118</oddFooter>
      </headerFooter>
    </customSheetView>
  </customSheetViews>
  <mergeCells count="65">
    <mergeCell ref="A42:E42"/>
    <mergeCell ref="D48:E48"/>
    <mergeCell ref="A37:E37"/>
    <mergeCell ref="B36:F36"/>
    <mergeCell ref="G48:H48"/>
    <mergeCell ref="H41:H42"/>
    <mergeCell ref="G41:G42"/>
    <mergeCell ref="A38:E38"/>
    <mergeCell ref="B28:F28"/>
    <mergeCell ref="B29:F29"/>
    <mergeCell ref="B30:F30"/>
    <mergeCell ref="A41:E41"/>
    <mergeCell ref="O6:P6"/>
    <mergeCell ref="L8:L9"/>
    <mergeCell ref="I6:K12"/>
    <mergeCell ref="I51:J51"/>
    <mergeCell ref="L51:M51"/>
    <mergeCell ref="O51:P51"/>
    <mergeCell ref="M8:P9"/>
    <mergeCell ref="M7:P7"/>
    <mergeCell ref="M10:P10"/>
    <mergeCell ref="M11:P11"/>
    <mergeCell ref="M12:P12"/>
    <mergeCell ref="L6:N6"/>
    <mergeCell ref="I33:P49"/>
    <mergeCell ref="I13:P13"/>
    <mergeCell ref="A6:C12"/>
    <mergeCell ref="D6:F6"/>
    <mergeCell ref="G6:H6"/>
    <mergeCell ref="E7:H7"/>
    <mergeCell ref="E8:H9"/>
    <mergeCell ref="E10:H10"/>
    <mergeCell ref="E11:H11"/>
    <mergeCell ref="E12:H12"/>
    <mergeCell ref="D8:D9"/>
    <mergeCell ref="B13:F13"/>
    <mergeCell ref="B14:F14"/>
    <mergeCell ref="A39:E39"/>
    <mergeCell ref="A46:H46"/>
    <mergeCell ref="A48:B48"/>
    <mergeCell ref="A44:H45"/>
    <mergeCell ref="A43:H43"/>
    <mergeCell ref="B32:F32"/>
    <mergeCell ref="B31:F31"/>
    <mergeCell ref="B15:F15"/>
    <mergeCell ref="B16:F16"/>
    <mergeCell ref="B17:F17"/>
    <mergeCell ref="B18:F18"/>
    <mergeCell ref="A40:E40"/>
    <mergeCell ref="A35:A36"/>
    <mergeCell ref="B35:F35"/>
    <mergeCell ref="B33:F34"/>
    <mergeCell ref="G33:G36"/>
    <mergeCell ref="H33:H36"/>
    <mergeCell ref="B24:F24"/>
    <mergeCell ref="B25:F25"/>
    <mergeCell ref="B26:F26"/>
    <mergeCell ref="B27:F27"/>
    <mergeCell ref="G14:G30"/>
    <mergeCell ref="H14:H30"/>
    <mergeCell ref="B19:F19"/>
    <mergeCell ref="B20:F20"/>
    <mergeCell ref="B21:F21"/>
    <mergeCell ref="B22:F22"/>
    <mergeCell ref="B23:F23"/>
  </mergeCells>
  <hyperlinks>
    <hyperlink ref="A44:G44" r:id="rId2" display="4. Para Mayor Información, consulte losterminos y condiciones en: https://www.ssepi.org" xr:uid="{7DF13DA7-91AD-4783-9E69-0B3B1EDD0421}"/>
    <hyperlink ref="D48" r:id="rId3" xr:uid="{8A0101A1-05C7-4BB7-801F-3E2D60D6BBEB}"/>
  </hyperlinks>
  <pageMargins left="0.57291666666666663" right="0.25" top="0.75" bottom="0.75" header="0.3" footer="0.3"/>
  <pageSetup paperSize="9" orientation="portrait" r:id="rId4"/>
  <headerFooter differentOddEven="1" differentFirst="1">
    <oddFooter>&amp;L
Ing. Daniel Zúñiga&amp;Cventass@ssepi.org&amp;R477 737 3118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Costos</vt:lpstr>
      <vt:lpstr>Materiales</vt:lpstr>
      <vt:lpstr>Cotizacion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Moreno</dc:creator>
  <cp:lastModifiedBy>Arturo Moreno</cp:lastModifiedBy>
  <cp:lastPrinted>2026-01-22T16:32:42Z</cp:lastPrinted>
  <dcterms:created xsi:type="dcterms:W3CDTF">2025-09-06T16:26:50Z</dcterms:created>
  <dcterms:modified xsi:type="dcterms:W3CDTF">2026-01-27T23:00:55Z</dcterms:modified>
</cp:coreProperties>
</file>