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32b3a7f7071650/Documentos/"/>
    </mc:Choice>
  </mc:AlternateContent>
  <xr:revisionPtr revIDLastSave="115" documentId="8_{797BB923-5FC5-4996-80D8-EDE9F3732978}" xr6:coauthVersionLast="47" xr6:coauthVersionMax="47" xr10:uidLastSave="{238F6B80-6C0E-47E0-A44C-00A28C34468B}"/>
  <bookViews>
    <workbookView xWindow="-120" yWindow="-120" windowWidth="29040" windowHeight="15720" xr2:uid="{B07A3978-4061-48B5-BC9F-C17B5A225459}"/>
  </bookViews>
  <sheets>
    <sheet name="Stock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2" l="1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5" i="2"/>
  <c r="G35" i="2" l="1"/>
  <c r="G31" i="2"/>
  <c r="G32" i="2"/>
  <c r="G33" i="2"/>
  <c r="G34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</calcChain>
</file>

<file path=xl/sharedStrings.xml><?xml version="1.0" encoding="utf-8"?>
<sst xmlns="http://schemas.openxmlformats.org/spreadsheetml/2006/main" count="235" uniqueCount="168">
  <si>
    <t xml:space="preserve">Entrada de productos y consumibles </t>
  </si>
  <si>
    <t xml:space="preserve">Fecha </t>
  </si>
  <si>
    <t xml:space="preserve">Cantidad </t>
  </si>
  <si>
    <t>Categoria</t>
  </si>
  <si>
    <t xml:space="preserve">Num.Parte </t>
  </si>
  <si>
    <t xml:space="preserve">Descripción </t>
  </si>
  <si>
    <t xml:space="preserve">Costo Unitario </t>
  </si>
  <si>
    <t xml:space="preserve">Importe </t>
  </si>
  <si>
    <t>Entradas</t>
  </si>
  <si>
    <t>Salidas</t>
  </si>
  <si>
    <t>Fecha de salida</t>
  </si>
  <si>
    <t>Canalización</t>
  </si>
  <si>
    <t>US4X2</t>
  </si>
  <si>
    <t>PERFIL UNICANAL SOLIDO 4X2 0.15 MTS CAL 16.</t>
  </si>
  <si>
    <t>CPD13</t>
  </si>
  <si>
    <t>CODO PARED DELGADA 13MM (1/2 )</t>
  </si>
  <si>
    <t>UNIST13</t>
  </si>
  <si>
    <t>ABRAZADERA UNICANAL EMT 13 mm (1/2″)</t>
  </si>
  <si>
    <t>Fijación</t>
  </si>
  <si>
    <t>10-008-1/4X2-1/4</t>
  </si>
  <si>
    <t>TAQUETE ARPON GALVANIZADO  1/4 X2 -1/4</t>
  </si>
  <si>
    <t>COPLE13PG</t>
  </si>
  <si>
    <t>COPLE PARED GRUESA DE 13MM(1/2)</t>
  </si>
  <si>
    <t>CONECTOR13TADO</t>
  </si>
  <si>
    <t xml:space="preserve">CONECTOR PARA TUBO PARED DELGADA DE 13MM (1/2) TIPO AMERICANO </t>
  </si>
  <si>
    <t>Accesorio Perfil</t>
  </si>
  <si>
    <t xml:space="preserve">DMI-3024-45 </t>
  </si>
  <si>
    <t>ESCUADRA PERFIL 4545</t>
  </si>
  <si>
    <t xml:space="preserve">DMI-NUT- URR10-M8 </t>
  </si>
  <si>
    <t>TUERCA MARTILLO M8XR10</t>
  </si>
  <si>
    <t>ALM-08025</t>
  </si>
  <si>
    <t>TORNILLO  M8 X 25 MM</t>
  </si>
  <si>
    <t>212-104</t>
  </si>
  <si>
    <t>ABRAZADERA TIPO OMEGA GALVANIZADA 1/2</t>
  </si>
  <si>
    <t>Control</t>
  </si>
  <si>
    <t>LC1N0601</t>
  </si>
  <si>
    <t>CONTACTOR: 3-POLOS; CONTACTO AUXILIAR: NO; 230VAC; 6A; 690V</t>
  </si>
  <si>
    <t xml:space="preserve">LRN05N </t>
  </si>
  <si>
    <t xml:space="preserve">RELÉ DE PROTECCIÓN CONTRA SOBRECARGA TÉRMICA 1A </t>
  </si>
  <si>
    <t>Alimentación</t>
  </si>
  <si>
    <t>5SL63207C</t>
  </si>
  <si>
    <t xml:space="preserve">INTERRUPTOR PARA RIEL 3 POLOS, 20A,  6KA, 250/440v </t>
  </si>
  <si>
    <t>RUMC31BD</t>
  </si>
  <si>
    <t>RELÉ ELECTROMAGNÉTICO; 3PDT; 24VDC; I CONTACTOS: 10A</t>
  </si>
  <si>
    <t>RUZC3M</t>
  </si>
  <si>
    <t xml:space="preserve">BASE PARA RELEVADOR UNIV ""RUM"" 3 REV P/1 </t>
  </si>
  <si>
    <t xml:space="preserve">Neumatica </t>
  </si>
  <si>
    <t>V5221-08E1</t>
  </si>
  <si>
    <t>VALVULA DIRECCIONAL 1/4 5VIAS 2 POSICIONES CONTROL SIMPLE 110VAC</t>
  </si>
  <si>
    <t xml:space="preserve">Terminales </t>
  </si>
  <si>
    <t>PCT-222</t>
  </si>
  <si>
    <t>CONECTORES DE CABLE 2 HILOS CALIBRE 28 A 12 AWG</t>
  </si>
  <si>
    <t>TXG-PG16-BK</t>
  </si>
  <si>
    <t xml:space="preserve">CONECTORES GLANDULA PARA CABLE 10-14 MM, PG16 - 16 MM </t>
  </si>
  <si>
    <t>CONECTOR DE GLANDULA EN POLIAMIDA CUERDA NPT 3/4″</t>
  </si>
  <si>
    <t>Cable</t>
  </si>
  <si>
    <t>YSLY-JZ 25C</t>
  </si>
  <si>
    <t xml:space="preserve">MULTICONDUCTOR 25 HILOS X CAL 18 AWG METRO </t>
  </si>
  <si>
    <t xml:space="preserve">  YSLCY-JZ</t>
  </si>
  <si>
    <t>MULTICONDUCTOR 5 HILOS X CAL 20 AWG APANTALLADO METRO</t>
  </si>
  <si>
    <t>FULL-BOB-CAT6</t>
  </si>
  <si>
    <t xml:space="preserve">CABLE UTP CAT 6 COLOR AZUL </t>
  </si>
  <si>
    <t xml:space="preserve">Cable </t>
  </si>
  <si>
    <t>CTHW16B</t>
  </si>
  <si>
    <t>CABLE CON AISLAMIENTO TIPO THW 16 AWG, 90° 600V. COLOR BLANCO</t>
  </si>
  <si>
    <t>PLC</t>
  </si>
  <si>
    <t>FX3SA-10MR-CM</t>
  </si>
  <si>
    <t>PLC , ALIMENTACION 110-240 VAC, 6DI/4DO 24VDC 2A</t>
  </si>
  <si>
    <t>34.51.7.024.0010</t>
  </si>
  <si>
    <t xml:space="preserve">RELEVADOR CUADRADO 6AMP 24VDC 1P2T 5PIN  SIN BASE </t>
  </si>
  <si>
    <t>S2SRN-LCKG</t>
  </si>
  <si>
    <t>SELECTOR PLASTICO 22MM 2 POSICIONES , VERD,E 12-30VDC, SIN BASE</t>
  </si>
  <si>
    <t>SA-CBM</t>
  </si>
  <si>
    <t>CONTACTO NC AUTONICS PACK5PZ</t>
  </si>
  <si>
    <t>SA-CA</t>
  </si>
  <si>
    <t>CONTACTO NA AUTONICS PACK5PZ</t>
  </si>
  <si>
    <t>SA-LAG</t>
  </si>
  <si>
    <t>PILOTO PARA BOTON 110-220 VAC AUTONICS PACK5PZ</t>
  </si>
  <si>
    <t>LA38-11/203</t>
  </si>
  <si>
    <t>BOTON PULSADOR MOMENTANEO VERDE CONTACTO NA</t>
  </si>
  <si>
    <t>LA39-B3-01D-W21</t>
  </si>
  <si>
    <t xml:space="preserve">BOTON PULSADOR MOMENTANEO BLANCO CONTACTO NA </t>
  </si>
  <si>
    <t>AD16-22DS-GREEN-220V</t>
  </si>
  <si>
    <t xml:space="preserve">PILOTO ALIMENTACION 110-220 VAC,  22 MM  VERDE </t>
  </si>
  <si>
    <t>S2SR-S7W</t>
  </si>
  <si>
    <t>BOTON SELECTOR 3 POSICIONES CON RETORNO AL CENTRO 22MM 2 CNA</t>
  </si>
  <si>
    <t>6ES7 215-1BG40-0XB0</t>
  </si>
  <si>
    <t>CPU 1215C AC-DC-RLY, 2 PTOS  PROFINET, 14ID/10SR- 2IA-2SA, MEM 200KB</t>
  </si>
  <si>
    <t>6ES7 234-4HE32-0XB0</t>
  </si>
  <si>
    <t>MODULO SIMATIC S7-1200, E/S ANALÓGICAS, SM 1234, 4 AI/2 AO, +/-10V, 0-20 MA</t>
  </si>
  <si>
    <t>6ES7 155-6AU00-0BN0</t>
  </si>
  <si>
    <t xml:space="preserve">SIMATIC ET200SP IM155-6PN STANDARD MAX 32 MODULOS </t>
  </si>
  <si>
    <t>6ES7 193-6AR00-0AA0</t>
  </si>
  <si>
    <t>SIMATIC ET 200SP, ADAPTADOR DE BUS BA 2xRJ45</t>
  </si>
  <si>
    <t>6ES7 193-6BP00-0BA0</t>
  </si>
  <si>
    <t>SIMATIC ET 200SP,BASE UNIT BU15-P16+A0+2B, BU TIPO A0</t>
  </si>
  <si>
    <t>6ES7 193-6BP00-0DA0</t>
  </si>
  <si>
    <t>SIMATIC ET 200SP,BASE UNIT BU15-P16+A0+2D, BU TIPO A0</t>
  </si>
  <si>
    <t>6ES7 131-6BF01-0BA0</t>
  </si>
  <si>
    <t>SIMATIC ET200SP 8 ENT DIG 24VDC STANDARD BU A0</t>
  </si>
  <si>
    <t xml:space="preserve">6ES7131-6BH01-0BA0 </t>
  </si>
  <si>
    <t>SIMATIC ET200SP 16 ENT DIG 24VDC STANDARD BU A0</t>
  </si>
  <si>
    <t>6ES7132-6BF00-0BA0</t>
  </si>
  <si>
    <t xml:space="preserve">SIMATIC ET200SP 8X24VDC 0.5A SALIDAS </t>
  </si>
  <si>
    <t>NXB-63 C3</t>
  </si>
  <si>
    <t>INTERRUPTOR PARA RIEL 2 POLOS, 3A, 6KA, 400V</t>
  </si>
  <si>
    <t>DZ47S C20</t>
  </si>
  <si>
    <t>INTERRUPTOR PARA RIEL 2 POLOS, 20A, 6KA, 400V</t>
  </si>
  <si>
    <t>DZ47S C10</t>
  </si>
  <si>
    <t>INTERRUPTOR PARA RIEL 2 POLOS, 10A, 6KA, 400V</t>
  </si>
  <si>
    <t>Sensor</t>
  </si>
  <si>
    <t>PN3092</t>
  </si>
  <si>
    <t>SENSOR DE PRESIÓN CON PANTALLA 1-100 BAR, G  1/4 M6</t>
  </si>
  <si>
    <t>KQ2H04-06A</t>
  </si>
  <si>
    <t xml:space="preserve">CONECTOR NEUMÁTICO RÁPIDO REDUCCIÓN 6MM A 4 MM </t>
  </si>
  <si>
    <t>NSE38N6MM</t>
  </si>
  <si>
    <t>CONECTOR/REGULADOR DE CAUDAL NEUMÁTICO CODO 3/8 NTP X 6 MM</t>
  </si>
  <si>
    <t>PL38N8MMQTY5</t>
  </si>
  <si>
    <t>CONECTOR NEUMÁTICO CODO 3/8 NTP X 8 MM</t>
  </si>
  <si>
    <t xml:space="preserve">AD1/AN-1A </t>
  </si>
  <si>
    <t>SENSOR INDUCTIVO M5, NO, NPN, CABLE 2 MTS, DISTANCIA 0.8 MM</t>
  </si>
  <si>
    <t>D-M9B</t>
  </si>
  <si>
    <t xml:space="preserve">SENSOR MAGNÉTICO DE ESTADO SOLIDO, 2 HILOS, CABLE  3 MTS </t>
  </si>
  <si>
    <t xml:space="preserve">46.61.9.012.0040 </t>
  </si>
  <si>
    <t>RELEVADOR  1CC (12VDC) 16 A CON PULSADOR DE PRUEBA SIN BASE</t>
  </si>
  <si>
    <t>RXM2AB2BD</t>
  </si>
  <si>
    <t>RELEVADOR  2CC (24VDC) 5A CON PULSADOR DE PRUEBA SIN BASE</t>
  </si>
  <si>
    <t>YJ139-LA38</t>
  </si>
  <si>
    <t>BOTON PULSADOR MOMENTANEOROJO CONTACTO NA Y NO 22MM</t>
  </si>
  <si>
    <t>4V210-08</t>
  </si>
  <si>
    <t>VALVULA DIRECCIONAL 1/4 5VIAS 2 POSICIONES CONTROL DOBLE 24 VDC</t>
  </si>
  <si>
    <t xml:space="preserve">VFS2120-4DZ-02T </t>
  </si>
  <si>
    <t>VÁLVULA SOLENOIDE VFS DE 4/5 PUERTOS 2 POSICIONES SALIDAS 1/8, 1/4, 220AC</t>
  </si>
  <si>
    <t>HDL36050</t>
  </si>
  <si>
    <t xml:space="preserve"> INTERRUPTOR TERMOMAGNÉTICO 3 POLOS, 50A, SQARD D, 600V, 18KA </t>
  </si>
  <si>
    <t xml:space="preserve">LC1D09M7 </t>
  </si>
  <si>
    <t>CONTACTOR MAGNETICO 3P, 9 A, 1NA-1NC, 220V</t>
  </si>
  <si>
    <t>NC1-1210Z</t>
  </si>
  <si>
    <t>CONTACTOR MAGNETICO 4P, 5KW, 1NA-1NC, 24VDC</t>
  </si>
  <si>
    <t>TPD13</t>
  </si>
  <si>
    <t>TUBO PARED DELGADA 13MM (1/2), 3 MTS</t>
  </si>
  <si>
    <t>QFS-61</t>
  </si>
  <si>
    <t>SENSOR DE FLUJO QUALITY</t>
  </si>
  <si>
    <t>A421ABC-02</t>
  </si>
  <si>
    <t>SENSOR DE TEMPERATURA DE JOHNSON CONTROLS</t>
  </si>
  <si>
    <t>KP5 060-117166</t>
  </si>
  <si>
    <t xml:space="preserve">PRESOSTATO DANFOSS </t>
  </si>
  <si>
    <t>5SL6332-7CC</t>
  </si>
  <si>
    <t xml:space="preserve">INTERRUPTOR PARA RIEL 3 POLOS, 32A,  6KA, 250/440v </t>
  </si>
  <si>
    <t>Ventilación</t>
  </si>
  <si>
    <t>FW68B</t>
  </si>
  <si>
    <t>MOTOR DE VENTILADOR CON ASPAS 220VAC68W 0.85A</t>
  </si>
  <si>
    <t>ERC213</t>
  </si>
  <si>
    <t>CONTROLADOR DE TEMPERATURA DANFOSS</t>
  </si>
  <si>
    <t>S/NP</t>
  </si>
  <si>
    <t>BOTONES AMARILLOS CON RETENCIÓN CON BLOQUE NO Y LÁMPARA PILOTO</t>
  </si>
  <si>
    <t>BOTÓN PARO DE EMERGENCIA CON 2 BLOQUES NC</t>
  </si>
  <si>
    <t>GLANDULA DE 1/2" METÁLICA</t>
  </si>
  <si>
    <t>CLEMA 20-10AWG</t>
  </si>
  <si>
    <t>CLEMA PORTAFUSIBLE LEGRAND 15A 22-12AWG</t>
  </si>
  <si>
    <t>NC1-1201</t>
  </si>
  <si>
    <t>CONTACTOR TRIFÁSICO CHINT 220VAC 20A</t>
  </si>
  <si>
    <t>GC6-45S</t>
  </si>
  <si>
    <t>CONTACTOR BIFASICO</t>
  </si>
  <si>
    <t>GENERICO</t>
  </si>
  <si>
    <t>CONECTOR RECTO PARA USO RUDO</t>
  </si>
  <si>
    <t>EKS 221</t>
  </si>
  <si>
    <t>SENSOR DE TEMPERATURA DANFOSS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</si>
</sst>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"/>
  </numFmts>
  <fonts count="4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wrapText="1"/>
    </xf>
    <xf numFmtId="0" fontId="0" fillId="2" borderId="0" xfId="0" applyFill="1"/>
    <xf numFmtId="0" fontId="0" fillId="3" borderId="0" xfId="0" applyFill="1"/>
    <xf numFmtId="165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4" fontId="3" fillId="0" borderId="0" xfId="0" applyNumberFormat="1" applyFont="1"/>
  </cellXfs>
  <cellStyles count="1">
    <cellStyle name="Normal" xfId="0" builtinId="0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(&quot;$&quot;* #,##0.00_);_(&quot;$&quot;* \(#,##0.00\);_(&quot;$&quot;* &quot;-&quot;??_);_(@_)"/>
      <alignment horizontal="left" vertical="bottom" textRotation="0" wrapText="0" indent="0" justifyLastLine="0" shrinkToFit="0" readingOrder="0"/>
    </dxf>
    <dxf>
      <numFmt numFmtId="164" formatCode="_(&quot;$&quot;* #,##0.00_);_(&quot;$&quot;* \(#,##0.00\);_(&quot;$&quot;* &quot;-&quot;??_);_(@_)"/>
      <alignment horizontal="left" vertical="bottom" textRotation="0" wrapText="0" indent="0" justifyLastLine="0" shrinkToFit="0" readingOrder="0"/>
    </dxf>
    <dxf>
      <numFmt numFmtId="16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numFmt numFmtId="16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/d/yyyy"/>
      <alignment horizontal="center" vertical="bottom" textRotation="0" wrapText="0" indent="0" justifyLastLine="0" shrinkToFit="0" readingOrder="0"/>
    </dxf>
    <dxf>
      <numFmt numFmtId="165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/d/yyyy"/>
      <alignment horizontal="center" vertical="bottom" textRotation="0" wrapText="0" indent="0" justifyLastLine="0" shrinkToFit="0" readingOrder="0"/>
    </dxf>
    <dxf>
      <numFmt numFmtId="165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34C27C-D568-4E8A-99F9-A4BFA9F7B3AB}" name="Inventario" displayName="Inventario" ref="A4:J86" totalsRowShown="0" dataDxfId="17">
  <autoFilter ref="A4:J86" xr:uid="{C834C27C-D568-4E8A-99F9-A4BFA9F7B3AB}"/>
  <tableColumns count="10">
    <tableColumn id="2" xr3:uid="{BF529C6A-64D8-44F9-87DC-76AAFECD6CBD}" name="Fecha " dataDxfId="15" totalsRowDxfId="16"/>
    <tableColumn id="1" xr3:uid="{A694EC76-0923-4367-8546-7EF15B105681}" name="Cantidad " dataDxfId="13" totalsRowDxfId="14">
      <calculatedColumnFormula>Inventario[[#This Row],[Entradas]]-Inventario[[#This Row],[Salidas]]</calculatedColumnFormula>
    </tableColumn>
    <tableColumn id="6" xr3:uid="{3FA972EE-2786-4E26-86C1-DD36E21C2CF4}" name="Categoria" dataDxfId="11" totalsRowDxfId="12"/>
    <tableColumn id="3" xr3:uid="{767159D7-16DC-40A7-B092-A27028C3A270}" name="Num.Parte " dataDxfId="9" totalsRowDxfId="10"/>
    <tableColumn id="4" xr3:uid="{A5782A13-F2BB-4CC7-AF82-379351835FD3}" name="Descripción " dataDxfId="7" totalsRowDxfId="8"/>
    <tableColumn id="5" xr3:uid="{F8CAC367-3235-4158-84D5-20C21F5546AA}" name="Costo Unitario " dataDxfId="5" totalsRowDxfId="6"/>
    <tableColumn id="7" xr3:uid="{A8D5312A-4FEF-4281-9D78-C30245D1B185}" name="Importe " dataDxfId="3" totalsRowDxfId="4">
      <calculatedColumnFormula>Inventario[[#This Row],[Costo Unitario ]]*Inventario[[#This Row],[Cantidad ]]</calculatedColumnFormula>
    </tableColumn>
    <tableColumn id="8" xr3:uid="{736A44D4-B1DC-4CFC-B6A9-6AEF75E8F1B2}" name="Entradas" dataDxfId="2"/>
    <tableColumn id="9" xr3:uid="{45F0B907-4112-4D73-8E6D-C45DB505992E}" name="Salidas" dataDxfId="1"/>
    <tableColumn id="10" xr3:uid="{B37B7E07-C2E9-4D65-AF29-38629B96F1B3}" name="Fecha de salid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5264-E7AB-4301-9F1A-9770BD16FF83}">
  <sheetPr>
    <tabColor rgb="FF00B050"/>
  </sheetPr>
  <dimension ref="A3:J86"/>
  <sheetViews>
    <sheetView tabSelected="1" workbookViewId="0">
      <pane ySplit="3" topLeftCell="A74" activePane="bottomLeft" state="frozen"/>
      <selection pane="bottomLeft" activeCell="D85" sqref="D85"/>
    </sheetView>
  </sheetViews>
  <sheetFormatPr defaultColWidth="11.42578125" defaultRowHeight="15"/>
  <cols>
    <col min="1" max="1" width="11.42578125" customWidth="1"/>
    <col min="2" max="2" width="13" customWidth="1"/>
    <col min="3" max="3" width="17.7109375" customWidth="1"/>
    <col min="4" max="4" width="21.5703125" customWidth="1"/>
    <col min="5" max="5" width="72.85546875" customWidth="1"/>
    <col min="6" max="6" width="13.42578125" customWidth="1"/>
    <col min="7" max="7" width="16.28515625" customWidth="1"/>
    <col min="10" max="10" width="16.28515625" customWidth="1"/>
  </cols>
  <sheetData>
    <row r="3" spans="1:10" ht="26.25">
      <c r="A3" s="11" t="s">
        <v>0</v>
      </c>
      <c r="B3" s="11"/>
      <c r="C3" s="11"/>
      <c r="D3" s="11"/>
      <c r="E3" s="11"/>
      <c r="F3" s="11"/>
      <c r="G3" s="11"/>
      <c r="H3" s="11"/>
      <c r="I3" s="11"/>
      <c r="J3" s="8"/>
    </row>
    <row r="4" spans="1:10">
      <c r="A4" t="s">
        <v>1</v>
      </c>
      <c r="B4" s="9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</row>
    <row r="5" spans="1:10">
      <c r="A5" s="2">
        <v>46267</v>
      </c>
      <c r="B5" s="1">
        <f>Inventario[[#This Row],[Entradas]]-Inventario[[#This Row],[Salidas]]</f>
        <v>12</v>
      </c>
      <c r="C5" s="2" t="s">
        <v>11</v>
      </c>
      <c r="D5" s="1" t="s">
        <v>12</v>
      </c>
      <c r="E5" s="4" t="s">
        <v>13</v>
      </c>
      <c r="F5" s="3">
        <v>11</v>
      </c>
      <c r="G5" s="6">
        <f>Inventario[[#This Row],[Costo Unitario ]]*Inventario[[#This Row],[Cantidad ]]</f>
        <v>132</v>
      </c>
      <c r="H5" s="1">
        <v>12</v>
      </c>
      <c r="I5" s="1">
        <v>0</v>
      </c>
      <c r="J5" s="1"/>
    </row>
    <row r="6" spans="1:10">
      <c r="A6" s="2">
        <v>46267</v>
      </c>
      <c r="B6" s="1">
        <f>Inventario[[#This Row],[Entradas]]-Inventario[[#This Row],[Salidas]]</f>
        <v>2</v>
      </c>
      <c r="C6" s="2" t="s">
        <v>11</v>
      </c>
      <c r="D6" s="1" t="s">
        <v>14</v>
      </c>
      <c r="E6" s="4" t="s">
        <v>15</v>
      </c>
      <c r="F6" s="3">
        <v>16.170000000000002</v>
      </c>
      <c r="G6" s="6">
        <f>Inventario[[#This Row],[Costo Unitario ]]*Inventario[[#This Row],[Cantidad ]]</f>
        <v>32.340000000000003</v>
      </c>
      <c r="H6" s="1">
        <v>2</v>
      </c>
      <c r="I6" s="1">
        <v>0</v>
      </c>
      <c r="J6" s="1"/>
    </row>
    <row r="7" spans="1:10">
      <c r="A7" s="2">
        <v>46267</v>
      </c>
      <c r="B7" s="1">
        <f>Inventario[[#This Row],[Entradas]]-Inventario[[#This Row],[Salidas]]</f>
        <v>7</v>
      </c>
      <c r="C7" s="2" t="s">
        <v>11</v>
      </c>
      <c r="D7" s="1" t="s">
        <v>16</v>
      </c>
      <c r="E7" s="4" t="s">
        <v>17</v>
      </c>
      <c r="F7" s="3">
        <v>6.24</v>
      </c>
      <c r="G7" s="6">
        <f>Inventario[[#This Row],[Costo Unitario ]]*Inventario[[#This Row],[Cantidad ]]</f>
        <v>43.68</v>
      </c>
      <c r="H7" s="1">
        <v>7</v>
      </c>
      <c r="I7" s="1">
        <v>0</v>
      </c>
      <c r="J7" s="1"/>
    </row>
    <row r="8" spans="1:10">
      <c r="A8" s="2">
        <v>46267</v>
      </c>
      <c r="B8" s="1">
        <f>Inventario[[#This Row],[Entradas]]-Inventario[[#This Row],[Salidas]]</f>
        <v>14</v>
      </c>
      <c r="C8" s="2" t="s">
        <v>18</v>
      </c>
      <c r="D8" s="1" t="s">
        <v>19</v>
      </c>
      <c r="E8" s="4" t="s">
        <v>20</v>
      </c>
      <c r="F8" s="3">
        <v>4.38</v>
      </c>
      <c r="G8" s="6">
        <f>Inventario[[#This Row],[Costo Unitario ]]*Inventario[[#This Row],[Cantidad ]]</f>
        <v>61.32</v>
      </c>
      <c r="H8" s="1">
        <v>14</v>
      </c>
      <c r="I8" s="1">
        <v>0</v>
      </c>
      <c r="J8" s="1"/>
    </row>
    <row r="9" spans="1:10">
      <c r="A9" s="2">
        <v>46267</v>
      </c>
      <c r="B9" s="1">
        <f>Inventario[[#This Row],[Entradas]]-Inventario[[#This Row],[Salidas]]</f>
        <v>11</v>
      </c>
      <c r="C9" s="2" t="s">
        <v>11</v>
      </c>
      <c r="D9" s="1" t="s">
        <v>21</v>
      </c>
      <c r="E9" s="4" t="s">
        <v>22</v>
      </c>
      <c r="F9" s="3">
        <v>5.88</v>
      </c>
      <c r="G9" s="6">
        <f>Inventario[[#This Row],[Costo Unitario ]]*Inventario[[#This Row],[Cantidad ]]</f>
        <v>64.679999999999993</v>
      </c>
      <c r="H9" s="1">
        <v>11</v>
      </c>
      <c r="I9" s="1">
        <v>0</v>
      </c>
      <c r="J9" s="1"/>
    </row>
    <row r="10" spans="1:10">
      <c r="A10" s="2">
        <v>46267</v>
      </c>
      <c r="B10" s="1">
        <f>Inventario[[#This Row],[Entradas]]-Inventario[[#This Row],[Salidas]]</f>
        <v>4</v>
      </c>
      <c r="C10" s="2" t="s">
        <v>11</v>
      </c>
      <c r="D10" s="1" t="s">
        <v>23</v>
      </c>
      <c r="E10" s="4" t="s">
        <v>24</v>
      </c>
      <c r="F10" s="3">
        <v>6.72</v>
      </c>
      <c r="G10" s="6">
        <f>Inventario[[#This Row],[Costo Unitario ]]*Inventario[[#This Row],[Cantidad ]]</f>
        <v>26.88</v>
      </c>
      <c r="H10" s="1">
        <v>4</v>
      </c>
      <c r="I10" s="1">
        <v>0</v>
      </c>
      <c r="J10" s="1"/>
    </row>
    <row r="11" spans="1:10">
      <c r="A11" s="2">
        <v>46267</v>
      </c>
      <c r="B11" s="1">
        <f>Inventario[[#This Row],[Entradas]]-Inventario[[#This Row],[Salidas]]</f>
        <v>6</v>
      </c>
      <c r="C11" s="2" t="s">
        <v>25</v>
      </c>
      <c r="D11" s="1" t="s">
        <v>26</v>
      </c>
      <c r="E11" s="4" t="s">
        <v>27</v>
      </c>
      <c r="F11" s="3">
        <v>67.599999999999994</v>
      </c>
      <c r="G11" s="6">
        <f>Inventario[[#This Row],[Costo Unitario ]]*Inventario[[#This Row],[Cantidad ]]</f>
        <v>405.59999999999997</v>
      </c>
      <c r="H11" s="1">
        <v>6</v>
      </c>
      <c r="I11" s="1">
        <v>0</v>
      </c>
      <c r="J11" s="1"/>
    </row>
    <row r="12" spans="1:10">
      <c r="A12" s="2">
        <v>46267</v>
      </c>
      <c r="B12" s="1">
        <f>Inventario[[#This Row],[Entradas]]-Inventario[[#This Row],[Salidas]]</f>
        <v>40</v>
      </c>
      <c r="C12" s="2" t="s">
        <v>25</v>
      </c>
      <c r="D12" s="1" t="s">
        <v>28</v>
      </c>
      <c r="E12" s="4" t="s">
        <v>29</v>
      </c>
      <c r="F12" s="3">
        <v>22.5</v>
      </c>
      <c r="G12" s="6">
        <f>Inventario[[#This Row],[Costo Unitario ]]*Inventario[[#This Row],[Cantidad ]]</f>
        <v>900</v>
      </c>
      <c r="H12" s="1">
        <v>40</v>
      </c>
      <c r="I12" s="1">
        <v>0</v>
      </c>
      <c r="J12" s="1"/>
    </row>
    <row r="13" spans="1:10">
      <c r="A13" s="2">
        <v>46267</v>
      </c>
      <c r="B13" s="1">
        <f>Inventario[[#This Row],[Entradas]]-Inventario[[#This Row],[Salidas]]</f>
        <v>40</v>
      </c>
      <c r="C13" s="2" t="s">
        <v>25</v>
      </c>
      <c r="D13" s="1" t="s">
        <v>30</v>
      </c>
      <c r="E13" s="4" t="s">
        <v>31</v>
      </c>
      <c r="F13" s="3">
        <v>4.3</v>
      </c>
      <c r="G13" s="6">
        <f>Inventario[[#This Row],[Costo Unitario ]]*Inventario[[#This Row],[Cantidad ]]</f>
        <v>172</v>
      </c>
      <c r="H13" s="1">
        <v>40</v>
      </c>
      <c r="I13" s="1">
        <v>0</v>
      </c>
      <c r="J13" s="1"/>
    </row>
    <row r="14" spans="1:10">
      <c r="A14" s="2">
        <v>46267</v>
      </c>
      <c r="B14" s="1">
        <f>Inventario[[#This Row],[Entradas]]-Inventario[[#This Row],[Salidas]]</f>
        <v>4</v>
      </c>
      <c r="C14" s="2" t="s">
        <v>11</v>
      </c>
      <c r="D14" s="1" t="s">
        <v>32</v>
      </c>
      <c r="E14" s="4" t="s">
        <v>33</v>
      </c>
      <c r="F14" s="3">
        <v>4.0199999999999996</v>
      </c>
      <c r="G14" s="6">
        <f>Inventario[[#This Row],[Costo Unitario ]]*Inventario[[#This Row],[Cantidad ]]</f>
        <v>16.079999999999998</v>
      </c>
      <c r="H14" s="1">
        <v>4</v>
      </c>
      <c r="I14" s="1">
        <v>0</v>
      </c>
      <c r="J14" s="1"/>
    </row>
    <row r="15" spans="1:10">
      <c r="A15" s="2">
        <v>46267</v>
      </c>
      <c r="B15" s="1">
        <f>Inventario[[#This Row],[Entradas]]-Inventario[[#This Row],[Salidas]]</f>
        <v>1</v>
      </c>
      <c r="C15" s="2" t="s">
        <v>34</v>
      </c>
      <c r="D15" s="1" t="s">
        <v>35</v>
      </c>
      <c r="E15" s="4" t="s">
        <v>36</v>
      </c>
      <c r="F15" s="3">
        <v>488</v>
      </c>
      <c r="G15" s="6">
        <f>Inventario[[#This Row],[Costo Unitario ]]*Inventario[[#This Row],[Cantidad ]]</f>
        <v>488</v>
      </c>
      <c r="H15" s="1">
        <v>1</v>
      </c>
      <c r="I15" s="1">
        <v>0</v>
      </c>
      <c r="J15" s="1"/>
    </row>
    <row r="16" spans="1:10">
      <c r="A16" s="2">
        <v>46267</v>
      </c>
      <c r="B16" s="1">
        <f>Inventario[[#This Row],[Entradas]]-Inventario[[#This Row],[Salidas]]</f>
        <v>1</v>
      </c>
      <c r="C16" s="2" t="s">
        <v>34</v>
      </c>
      <c r="D16" s="1" t="s">
        <v>37</v>
      </c>
      <c r="E16" s="4" t="s">
        <v>38</v>
      </c>
      <c r="F16" s="3">
        <v>465</v>
      </c>
      <c r="G16" s="6">
        <f>Inventario[[#This Row],[Costo Unitario ]]*Inventario[[#This Row],[Cantidad ]]</f>
        <v>465</v>
      </c>
      <c r="H16" s="1">
        <v>1</v>
      </c>
      <c r="I16" s="1">
        <v>0</v>
      </c>
      <c r="J16" s="1"/>
    </row>
    <row r="17" spans="1:10">
      <c r="A17" s="2">
        <v>46267</v>
      </c>
      <c r="B17" s="1">
        <f>Inventario[[#This Row],[Entradas]]-Inventario[[#This Row],[Salidas]]</f>
        <v>2</v>
      </c>
      <c r="C17" s="2" t="s">
        <v>39</v>
      </c>
      <c r="D17" s="1" t="s">
        <v>40</v>
      </c>
      <c r="E17" s="4" t="s">
        <v>41</v>
      </c>
      <c r="F17" s="3">
        <v>639</v>
      </c>
      <c r="G17" s="6">
        <f>Inventario[[#This Row],[Costo Unitario ]]*Inventario[[#This Row],[Cantidad ]]</f>
        <v>1278</v>
      </c>
      <c r="H17" s="1">
        <v>2</v>
      </c>
      <c r="I17" s="1">
        <v>0</v>
      </c>
      <c r="J17" s="1"/>
    </row>
    <row r="18" spans="1:10">
      <c r="A18" s="2">
        <v>46267</v>
      </c>
      <c r="B18" s="1">
        <f>Inventario[[#This Row],[Entradas]]-Inventario[[#This Row],[Salidas]]</f>
        <v>1</v>
      </c>
      <c r="C18" s="2" t="s">
        <v>34</v>
      </c>
      <c r="D18" s="1" t="s">
        <v>42</v>
      </c>
      <c r="E18" s="5" t="s">
        <v>43</v>
      </c>
      <c r="F18" s="3">
        <v>181.29</v>
      </c>
      <c r="G18" s="7">
        <f>Inventario[[#This Row],[Costo Unitario ]]*Inventario[[#This Row],[Cantidad ]]</f>
        <v>181.29</v>
      </c>
      <c r="H18" s="1">
        <v>1</v>
      </c>
      <c r="I18" s="1">
        <v>0</v>
      </c>
      <c r="J18" s="1"/>
    </row>
    <row r="19" spans="1:10">
      <c r="A19" s="2">
        <v>46267</v>
      </c>
      <c r="B19" s="1">
        <f>Inventario[[#This Row],[Entradas]]-Inventario[[#This Row],[Salidas]]</f>
        <v>1</v>
      </c>
      <c r="C19" s="2" t="s">
        <v>34</v>
      </c>
      <c r="D19" s="1" t="s">
        <v>44</v>
      </c>
      <c r="E19" s="4" t="s">
        <v>45</v>
      </c>
      <c r="F19" s="3">
        <v>189</v>
      </c>
      <c r="G19" s="6">
        <f>Inventario[[#This Row],[Costo Unitario ]]*Inventario[[#This Row],[Cantidad ]]</f>
        <v>189</v>
      </c>
      <c r="H19" s="1">
        <v>1</v>
      </c>
      <c r="I19" s="1">
        <v>0</v>
      </c>
      <c r="J19" s="1"/>
    </row>
    <row r="20" spans="1:10">
      <c r="A20" s="2">
        <v>46267</v>
      </c>
      <c r="B20" s="1">
        <f>Inventario[[#This Row],[Entradas]]-Inventario[[#This Row],[Salidas]]</f>
        <v>1</v>
      </c>
      <c r="C20" s="2" t="s">
        <v>46</v>
      </c>
      <c r="D20" s="1" t="s">
        <v>47</v>
      </c>
      <c r="E20" s="4" t="s">
        <v>48</v>
      </c>
      <c r="F20" s="3">
        <v>495.9</v>
      </c>
      <c r="G20" s="6">
        <f>Inventario[[#This Row],[Costo Unitario ]]*Inventario[[#This Row],[Cantidad ]]</f>
        <v>495.9</v>
      </c>
      <c r="H20" s="1">
        <v>1</v>
      </c>
      <c r="I20" s="1">
        <v>0</v>
      </c>
      <c r="J20" s="1"/>
    </row>
    <row r="21" spans="1:10">
      <c r="A21" s="2">
        <v>46267</v>
      </c>
      <c r="B21" s="1">
        <f>Inventario[[#This Row],[Entradas]]-Inventario[[#This Row],[Salidas]]</f>
        <v>13</v>
      </c>
      <c r="C21" s="2" t="s">
        <v>49</v>
      </c>
      <c r="D21" s="1" t="s">
        <v>50</v>
      </c>
      <c r="E21" s="4" t="s">
        <v>51</v>
      </c>
      <c r="F21" s="3">
        <v>5.5</v>
      </c>
      <c r="G21" s="6">
        <f>Inventario[[#This Row],[Costo Unitario ]]*Inventario[[#This Row],[Cantidad ]]</f>
        <v>71.5</v>
      </c>
      <c r="H21" s="1">
        <v>13</v>
      </c>
      <c r="I21" s="1">
        <v>0</v>
      </c>
      <c r="J21" s="1"/>
    </row>
    <row r="22" spans="1:10">
      <c r="A22" s="2">
        <v>46267</v>
      </c>
      <c r="B22" s="1">
        <f>Inventario[[#This Row],[Entradas]]-Inventario[[#This Row],[Salidas]]</f>
        <v>22</v>
      </c>
      <c r="C22" s="2" t="s">
        <v>11</v>
      </c>
      <c r="D22" s="1" t="s">
        <v>52</v>
      </c>
      <c r="E22" s="4" t="s">
        <v>53</v>
      </c>
      <c r="F22" s="3">
        <v>17</v>
      </c>
      <c r="G22" s="6">
        <f>Inventario[[#This Row],[Costo Unitario ]]*Inventario[[#This Row],[Cantidad ]]</f>
        <v>374</v>
      </c>
      <c r="H22" s="1">
        <v>22</v>
      </c>
      <c r="I22" s="1">
        <v>0</v>
      </c>
      <c r="J22" s="1"/>
    </row>
    <row r="23" spans="1:10">
      <c r="A23" s="2">
        <v>46267</v>
      </c>
      <c r="B23" s="1">
        <f>Inventario[[#This Row],[Entradas]]-Inventario[[#This Row],[Salidas]]</f>
        <v>4</v>
      </c>
      <c r="C23" s="2" t="s">
        <v>11</v>
      </c>
      <c r="D23" s="1">
        <v>733076</v>
      </c>
      <c r="E23" s="4" t="s">
        <v>54</v>
      </c>
      <c r="F23" s="3">
        <v>25.05</v>
      </c>
      <c r="G23" s="6">
        <f>Inventario[[#This Row],[Costo Unitario ]]*Inventario[[#This Row],[Cantidad ]]</f>
        <v>100.2</v>
      </c>
      <c r="H23" s="1">
        <v>4</v>
      </c>
      <c r="I23" s="1">
        <v>0</v>
      </c>
      <c r="J23" s="1"/>
    </row>
    <row r="24" spans="1:10">
      <c r="A24" s="2">
        <v>46267</v>
      </c>
      <c r="B24" s="1">
        <f>Inventario[[#This Row],[Entradas]]-Inventario[[#This Row],[Salidas]]</f>
        <v>15</v>
      </c>
      <c r="C24" s="2" t="s">
        <v>55</v>
      </c>
      <c r="D24" s="1" t="s">
        <v>56</v>
      </c>
      <c r="E24" s="4" t="s">
        <v>57</v>
      </c>
      <c r="F24" s="3">
        <v>240</v>
      </c>
      <c r="G24" s="6">
        <f>Inventario[[#This Row],[Costo Unitario ]]*Inventario[[#This Row],[Cantidad ]]</f>
        <v>3600</v>
      </c>
      <c r="H24" s="1">
        <v>15</v>
      </c>
      <c r="I24" s="1">
        <v>0</v>
      </c>
      <c r="J24" s="1"/>
    </row>
    <row r="25" spans="1:10">
      <c r="A25" s="2">
        <v>46267</v>
      </c>
      <c r="B25" s="1">
        <f>Inventario[[#This Row],[Entradas]]-Inventario[[#This Row],[Salidas]]</f>
        <v>20</v>
      </c>
      <c r="C25" s="2" t="s">
        <v>55</v>
      </c>
      <c r="D25" s="1" t="s">
        <v>58</v>
      </c>
      <c r="E25" s="4" t="s">
        <v>59</v>
      </c>
      <c r="F25" s="3">
        <v>31.9</v>
      </c>
      <c r="G25" s="6">
        <f>Inventario[[#This Row],[Costo Unitario ]]*Inventario[[#This Row],[Cantidad ]]</f>
        <v>638</v>
      </c>
      <c r="H25" s="1">
        <v>20</v>
      </c>
      <c r="I25" s="1">
        <v>0</v>
      </c>
      <c r="J25" s="1"/>
    </row>
    <row r="26" spans="1:10">
      <c r="A26" s="2">
        <v>46267</v>
      </c>
      <c r="B26" s="1">
        <f>Inventario[[#This Row],[Entradas]]-Inventario[[#This Row],[Salidas]]</f>
        <v>50</v>
      </c>
      <c r="C26" s="2" t="s">
        <v>55</v>
      </c>
      <c r="D26" s="1" t="s">
        <v>60</v>
      </c>
      <c r="E26" s="4" t="s">
        <v>61</v>
      </c>
      <c r="F26" s="3">
        <v>3.5</v>
      </c>
      <c r="G26" s="6">
        <f>Inventario[[#This Row],[Costo Unitario ]]*Inventario[[#This Row],[Cantidad ]]</f>
        <v>175</v>
      </c>
      <c r="H26" s="1">
        <v>50</v>
      </c>
      <c r="I26" s="1">
        <v>0</v>
      </c>
      <c r="J26" s="1"/>
    </row>
    <row r="27" spans="1:10">
      <c r="A27" s="2">
        <v>46267</v>
      </c>
      <c r="B27" s="1">
        <f>Inventario[[#This Row],[Entradas]]-Inventario[[#This Row],[Salidas]]</f>
        <v>80</v>
      </c>
      <c r="C27" s="2" t="s">
        <v>62</v>
      </c>
      <c r="D27" s="1" t="s">
        <v>63</v>
      </c>
      <c r="E27" s="4" t="s">
        <v>64</v>
      </c>
      <c r="F27" s="3">
        <v>5.0999999999999996</v>
      </c>
      <c r="G27" s="6">
        <f>Inventario[[#This Row],[Costo Unitario ]]*Inventario[[#This Row],[Cantidad ]]</f>
        <v>408</v>
      </c>
      <c r="H27" s="1">
        <v>80</v>
      </c>
      <c r="I27" s="1">
        <v>0</v>
      </c>
      <c r="J27" s="1"/>
    </row>
    <row r="28" spans="1:10">
      <c r="A28" s="2">
        <v>46267</v>
      </c>
      <c r="B28" s="1">
        <f>Inventario[[#This Row],[Entradas]]-Inventario[[#This Row],[Salidas]]</f>
        <v>1</v>
      </c>
      <c r="C28" s="2" t="s">
        <v>65</v>
      </c>
      <c r="D28" s="1" t="s">
        <v>66</v>
      </c>
      <c r="E28" s="4" t="s">
        <v>67</v>
      </c>
      <c r="F28" s="3">
        <v>1500</v>
      </c>
      <c r="G28" s="6">
        <f>Inventario[[#This Row],[Costo Unitario ]]*Inventario[[#This Row],[Cantidad ]]</f>
        <v>1500</v>
      </c>
      <c r="H28" s="1">
        <v>1</v>
      </c>
      <c r="I28" s="1">
        <v>0</v>
      </c>
      <c r="J28" s="1"/>
    </row>
    <row r="29" spans="1:10">
      <c r="A29" s="2">
        <v>46267</v>
      </c>
      <c r="B29" s="1">
        <f>Inventario[[#This Row],[Entradas]]-Inventario[[#This Row],[Salidas]]</f>
        <v>4</v>
      </c>
      <c r="C29" s="2" t="s">
        <v>34</v>
      </c>
      <c r="D29" s="1" t="s">
        <v>68</v>
      </c>
      <c r="E29" s="4" t="s">
        <v>69</v>
      </c>
      <c r="F29" s="3">
        <v>70</v>
      </c>
      <c r="G29" s="6">
        <f>Inventario[[#This Row],[Costo Unitario ]]*Inventario[[#This Row],[Cantidad ]]</f>
        <v>280</v>
      </c>
      <c r="H29" s="1">
        <v>4</v>
      </c>
      <c r="I29" s="1">
        <v>0</v>
      </c>
      <c r="J29" s="1"/>
    </row>
    <row r="30" spans="1:10">
      <c r="A30" s="2">
        <v>46267</v>
      </c>
      <c r="B30" s="1">
        <f>Inventario[[#This Row],[Entradas]]-Inventario[[#This Row],[Salidas]]</f>
        <v>1</v>
      </c>
      <c r="C30" s="2" t="s">
        <v>34</v>
      </c>
      <c r="D30" s="1" t="s">
        <v>70</v>
      </c>
      <c r="E30" s="4" t="s">
        <v>71</v>
      </c>
      <c r="F30" s="3">
        <v>250</v>
      </c>
      <c r="G30" s="6">
        <f>Inventario[[#This Row],[Costo Unitario ]]*Inventario[[#This Row],[Cantidad ]]</f>
        <v>250</v>
      </c>
      <c r="H30" s="1">
        <v>1</v>
      </c>
      <c r="I30" s="1">
        <v>0</v>
      </c>
      <c r="J30" s="1"/>
    </row>
    <row r="31" spans="1:10">
      <c r="A31" s="2">
        <v>46267</v>
      </c>
      <c r="B31" s="1">
        <f>Inventario[[#This Row],[Entradas]]-Inventario[[#This Row],[Salidas]]</f>
        <v>2</v>
      </c>
      <c r="C31" s="2" t="s">
        <v>34</v>
      </c>
      <c r="D31" s="1" t="s">
        <v>72</v>
      </c>
      <c r="E31" s="4" t="s">
        <v>73</v>
      </c>
      <c r="F31" s="3">
        <v>70</v>
      </c>
      <c r="G31" s="6">
        <f>Inventario[[#This Row],[Costo Unitario ]]*Inventario[[#This Row],[Cantidad ]]</f>
        <v>140</v>
      </c>
      <c r="H31" s="1">
        <v>2</v>
      </c>
      <c r="I31" s="1">
        <v>0</v>
      </c>
      <c r="J31" s="1"/>
    </row>
    <row r="32" spans="1:10">
      <c r="A32" s="2">
        <v>46267</v>
      </c>
      <c r="B32" s="1">
        <f>Inventario[[#This Row],[Entradas]]-Inventario[[#This Row],[Salidas]]</f>
        <v>2</v>
      </c>
      <c r="C32" s="2" t="s">
        <v>34</v>
      </c>
      <c r="D32" s="1" t="s">
        <v>74</v>
      </c>
      <c r="E32" s="4" t="s">
        <v>75</v>
      </c>
      <c r="F32" s="3">
        <v>70</v>
      </c>
      <c r="G32" s="6">
        <f>Inventario[[#This Row],[Costo Unitario ]]*Inventario[[#This Row],[Cantidad ]]</f>
        <v>140</v>
      </c>
      <c r="H32" s="1">
        <v>2</v>
      </c>
      <c r="I32" s="1">
        <v>0</v>
      </c>
      <c r="J32" s="1"/>
    </row>
    <row r="33" spans="1:10">
      <c r="A33" s="2">
        <v>46267</v>
      </c>
      <c r="B33" s="1">
        <f>Inventario[[#This Row],[Entradas]]-Inventario[[#This Row],[Salidas]]</f>
        <v>9</v>
      </c>
      <c r="C33" s="2" t="s">
        <v>34</v>
      </c>
      <c r="D33" s="1" t="s">
        <v>76</v>
      </c>
      <c r="E33" s="4" t="s">
        <v>77</v>
      </c>
      <c r="F33" s="3">
        <v>150</v>
      </c>
      <c r="G33" s="6">
        <f>Inventario[[#This Row],[Costo Unitario ]]*Inventario[[#This Row],[Cantidad ]]</f>
        <v>1350</v>
      </c>
      <c r="H33" s="1">
        <v>9</v>
      </c>
      <c r="I33" s="1">
        <v>0</v>
      </c>
      <c r="J33" s="1"/>
    </row>
    <row r="34" spans="1:10">
      <c r="A34" s="2">
        <v>46267</v>
      </c>
      <c r="B34" s="1">
        <f>Inventario[[#This Row],[Entradas]]-Inventario[[#This Row],[Salidas]]</f>
        <v>1</v>
      </c>
      <c r="C34" s="2" t="s">
        <v>34</v>
      </c>
      <c r="D34" s="1" t="s">
        <v>78</v>
      </c>
      <c r="E34" s="4" t="s">
        <v>79</v>
      </c>
      <c r="F34" s="3">
        <v>150</v>
      </c>
      <c r="G34" s="6">
        <f>Inventario[[#This Row],[Costo Unitario ]]*Inventario[[#This Row],[Cantidad ]]</f>
        <v>150</v>
      </c>
      <c r="H34" s="1">
        <v>1</v>
      </c>
      <c r="I34" s="1">
        <v>0</v>
      </c>
      <c r="J34" s="1"/>
    </row>
    <row r="35" spans="1:10">
      <c r="A35" s="2">
        <v>46267</v>
      </c>
      <c r="B35" s="1">
        <f>Inventario[[#This Row],[Entradas]]-Inventario[[#This Row],[Salidas]]</f>
        <v>1</v>
      </c>
      <c r="C35" s="2" t="s">
        <v>34</v>
      </c>
      <c r="D35" s="1" t="s">
        <v>80</v>
      </c>
      <c r="E35" s="4" t="s">
        <v>81</v>
      </c>
      <c r="F35" s="3">
        <v>150</v>
      </c>
      <c r="G35" s="6">
        <f>Inventario[[#This Row],[Costo Unitario ]]*Inventario[[#This Row],[Cantidad ]]</f>
        <v>150</v>
      </c>
      <c r="H35" s="1">
        <v>1</v>
      </c>
      <c r="I35" s="1">
        <v>0</v>
      </c>
      <c r="J35" s="1"/>
    </row>
    <row r="36" spans="1:10">
      <c r="A36" s="2">
        <v>46267</v>
      </c>
      <c r="B36" s="1">
        <f>Inventario[[#This Row],[Entradas]]-Inventario[[#This Row],[Salidas]]</f>
        <v>1</v>
      </c>
      <c r="C36" s="2" t="s">
        <v>34</v>
      </c>
      <c r="D36" s="1" t="s">
        <v>82</v>
      </c>
      <c r="E36" s="4" t="s">
        <v>83</v>
      </c>
      <c r="F36" s="3">
        <v>40</v>
      </c>
      <c r="G36" s="6">
        <f>Inventario[[#This Row],[Costo Unitario ]]*Inventario[[#This Row],[Cantidad ]]</f>
        <v>40</v>
      </c>
      <c r="H36" s="1">
        <v>1</v>
      </c>
      <c r="I36" s="1">
        <v>0</v>
      </c>
      <c r="J36" s="1"/>
    </row>
    <row r="37" spans="1:10">
      <c r="A37" s="2">
        <v>46267</v>
      </c>
      <c r="B37" s="1">
        <f>Inventario[[#This Row],[Entradas]]-Inventario[[#This Row],[Salidas]]</f>
        <v>2</v>
      </c>
      <c r="C37" s="2" t="s">
        <v>34</v>
      </c>
      <c r="D37" s="1" t="s">
        <v>84</v>
      </c>
      <c r="E37" s="4" t="s">
        <v>85</v>
      </c>
      <c r="F37" s="3">
        <v>400</v>
      </c>
      <c r="G37" s="6">
        <f>Inventario[[#This Row],[Costo Unitario ]]*Inventario[[#This Row],[Cantidad ]]</f>
        <v>800</v>
      </c>
      <c r="H37" s="1">
        <v>2</v>
      </c>
      <c r="I37" s="1">
        <v>0</v>
      </c>
      <c r="J37" s="1"/>
    </row>
    <row r="38" spans="1:10">
      <c r="A38" s="2">
        <v>46267</v>
      </c>
      <c r="B38" s="1">
        <f>Inventario[[#This Row],[Entradas]]-Inventario[[#This Row],[Salidas]]</f>
        <v>1</v>
      </c>
      <c r="C38" s="2" t="s">
        <v>65</v>
      </c>
      <c r="D38" s="1" t="s">
        <v>86</v>
      </c>
      <c r="E38" s="4" t="s">
        <v>87</v>
      </c>
      <c r="F38" s="3">
        <v>8500</v>
      </c>
      <c r="G38" s="6">
        <f>Inventario[[#This Row],[Costo Unitario ]]*Inventario[[#This Row],[Cantidad ]]</f>
        <v>8500</v>
      </c>
      <c r="H38" s="1">
        <v>1</v>
      </c>
      <c r="I38" s="1">
        <v>0</v>
      </c>
      <c r="J38" s="1"/>
    </row>
    <row r="39" spans="1:10">
      <c r="A39" s="2">
        <v>46267</v>
      </c>
      <c r="B39" s="1">
        <f>Inventario[[#This Row],[Entradas]]-Inventario[[#This Row],[Salidas]]</f>
        <v>1</v>
      </c>
      <c r="C39" s="2" t="s">
        <v>65</v>
      </c>
      <c r="D39" s="1" t="s">
        <v>88</v>
      </c>
      <c r="E39" s="4" t="s">
        <v>89</v>
      </c>
      <c r="F39" s="3">
        <v>5200</v>
      </c>
      <c r="G39" s="6">
        <f>Inventario[[#This Row],[Costo Unitario ]]*Inventario[[#This Row],[Cantidad ]]</f>
        <v>5200</v>
      </c>
      <c r="H39" s="1">
        <v>1</v>
      </c>
      <c r="I39" s="1">
        <v>0</v>
      </c>
      <c r="J39" s="1"/>
    </row>
    <row r="40" spans="1:10">
      <c r="A40" s="2">
        <v>46267</v>
      </c>
      <c r="B40" s="1">
        <f>Inventario[[#This Row],[Entradas]]-Inventario[[#This Row],[Salidas]]</f>
        <v>1</v>
      </c>
      <c r="C40" s="2" t="s">
        <v>65</v>
      </c>
      <c r="D40" s="1" t="s">
        <v>90</v>
      </c>
      <c r="E40" s="4" t="s">
        <v>91</v>
      </c>
      <c r="F40" s="3">
        <v>3500</v>
      </c>
      <c r="G40" s="6">
        <f>Inventario[[#This Row],[Costo Unitario ]]*Inventario[[#This Row],[Cantidad ]]</f>
        <v>3500</v>
      </c>
      <c r="H40" s="1">
        <v>1</v>
      </c>
      <c r="I40" s="1">
        <v>0</v>
      </c>
      <c r="J40" s="1"/>
    </row>
    <row r="41" spans="1:10">
      <c r="A41" s="2">
        <v>46267</v>
      </c>
      <c r="B41" s="1">
        <f>Inventario[[#This Row],[Entradas]]-Inventario[[#This Row],[Salidas]]</f>
        <v>1</v>
      </c>
      <c r="C41" s="2" t="s">
        <v>65</v>
      </c>
      <c r="D41" s="1" t="s">
        <v>92</v>
      </c>
      <c r="E41" s="4" t="s">
        <v>93</v>
      </c>
      <c r="F41" s="3">
        <v>1800</v>
      </c>
      <c r="G41" s="6">
        <f>Inventario[[#This Row],[Costo Unitario ]]*Inventario[[#This Row],[Cantidad ]]</f>
        <v>1800</v>
      </c>
      <c r="H41" s="1">
        <v>1</v>
      </c>
      <c r="I41" s="1">
        <v>0</v>
      </c>
      <c r="J41" s="1"/>
    </row>
    <row r="42" spans="1:10">
      <c r="A42" s="2">
        <v>46267</v>
      </c>
      <c r="B42" s="1">
        <f>Inventario[[#This Row],[Entradas]]-Inventario[[#This Row],[Salidas]]</f>
        <v>2</v>
      </c>
      <c r="C42" s="2" t="s">
        <v>65</v>
      </c>
      <c r="D42" s="1" t="s">
        <v>94</v>
      </c>
      <c r="E42" s="4" t="s">
        <v>95</v>
      </c>
      <c r="F42" s="3">
        <v>600</v>
      </c>
      <c r="G42" s="6">
        <f>Inventario[[#This Row],[Costo Unitario ]]*Inventario[[#This Row],[Cantidad ]]</f>
        <v>1200</v>
      </c>
      <c r="H42" s="1">
        <v>2</v>
      </c>
      <c r="I42" s="1">
        <v>0</v>
      </c>
      <c r="J42" s="1"/>
    </row>
    <row r="43" spans="1:10">
      <c r="A43" s="2">
        <v>46267</v>
      </c>
      <c r="B43" s="1">
        <f>Inventario[[#This Row],[Entradas]]-Inventario[[#This Row],[Salidas]]</f>
        <v>1</v>
      </c>
      <c r="C43" s="2" t="s">
        <v>65</v>
      </c>
      <c r="D43" s="1" t="s">
        <v>96</v>
      </c>
      <c r="E43" s="4" t="s">
        <v>97</v>
      </c>
      <c r="F43" s="3">
        <v>600</v>
      </c>
      <c r="G43" s="6">
        <f>Inventario[[#This Row],[Costo Unitario ]]*Inventario[[#This Row],[Cantidad ]]</f>
        <v>600</v>
      </c>
      <c r="H43" s="1">
        <v>1</v>
      </c>
      <c r="I43" s="1">
        <v>0</v>
      </c>
      <c r="J43" s="1"/>
    </row>
    <row r="44" spans="1:10">
      <c r="A44" s="2">
        <v>46267</v>
      </c>
      <c r="B44" s="1">
        <f>Inventario[[#This Row],[Entradas]]-Inventario[[#This Row],[Salidas]]</f>
        <v>1</v>
      </c>
      <c r="C44" s="2" t="s">
        <v>65</v>
      </c>
      <c r="D44" s="1" t="s">
        <v>98</v>
      </c>
      <c r="E44" s="4" t="s">
        <v>99</v>
      </c>
      <c r="F44" s="3">
        <v>2200</v>
      </c>
      <c r="G44" s="6">
        <f>Inventario[[#This Row],[Costo Unitario ]]*Inventario[[#This Row],[Cantidad ]]</f>
        <v>2200</v>
      </c>
      <c r="H44" s="1">
        <v>1</v>
      </c>
      <c r="I44" s="1">
        <v>0</v>
      </c>
      <c r="J44" s="1"/>
    </row>
    <row r="45" spans="1:10">
      <c r="A45" s="2">
        <v>46267</v>
      </c>
      <c r="B45" s="1">
        <f>Inventario[[#This Row],[Entradas]]-Inventario[[#This Row],[Salidas]]</f>
        <v>1</v>
      </c>
      <c r="C45" s="2" t="s">
        <v>65</v>
      </c>
      <c r="D45" s="1" t="s">
        <v>100</v>
      </c>
      <c r="E45" s="4" t="s">
        <v>101</v>
      </c>
      <c r="F45" s="3">
        <v>2780</v>
      </c>
      <c r="G45" s="6">
        <f>Inventario[[#This Row],[Costo Unitario ]]*Inventario[[#This Row],[Cantidad ]]</f>
        <v>2780</v>
      </c>
      <c r="H45" s="1">
        <v>1</v>
      </c>
      <c r="I45" s="1">
        <v>0</v>
      </c>
      <c r="J45" s="1"/>
    </row>
    <row r="46" spans="1:10">
      <c r="A46" s="2">
        <v>46267</v>
      </c>
      <c r="B46" s="1">
        <f>Inventario[[#This Row],[Entradas]]-Inventario[[#This Row],[Salidas]]</f>
        <v>1</v>
      </c>
      <c r="C46" s="2" t="s">
        <v>65</v>
      </c>
      <c r="D46" s="1" t="s">
        <v>102</v>
      </c>
      <c r="E46" s="4" t="s">
        <v>103</v>
      </c>
      <c r="F46" s="3">
        <v>1900</v>
      </c>
      <c r="G46" s="6">
        <f>Inventario[[#This Row],[Costo Unitario ]]*Inventario[[#This Row],[Cantidad ]]</f>
        <v>1900</v>
      </c>
      <c r="H46" s="1">
        <v>1</v>
      </c>
      <c r="I46" s="1">
        <v>0</v>
      </c>
      <c r="J46" s="1"/>
    </row>
    <row r="47" spans="1:10">
      <c r="A47" s="2">
        <v>46267</v>
      </c>
      <c r="B47" s="1">
        <f>Inventario[[#This Row],[Entradas]]-Inventario[[#This Row],[Salidas]]</f>
        <v>1</v>
      </c>
      <c r="C47" s="2" t="s">
        <v>39</v>
      </c>
      <c r="D47" s="1" t="s">
        <v>104</v>
      </c>
      <c r="E47" s="4" t="s">
        <v>105</v>
      </c>
      <c r="F47" s="3">
        <v>573</v>
      </c>
      <c r="G47" s="6">
        <f>Inventario[[#This Row],[Costo Unitario ]]*Inventario[[#This Row],[Cantidad ]]</f>
        <v>573</v>
      </c>
      <c r="H47" s="1">
        <v>1</v>
      </c>
      <c r="I47" s="1">
        <v>0</v>
      </c>
      <c r="J47" s="1"/>
    </row>
    <row r="48" spans="1:10">
      <c r="A48" s="2">
        <v>46267</v>
      </c>
      <c r="B48" s="1">
        <f>Inventario[[#This Row],[Entradas]]-Inventario[[#This Row],[Salidas]]</f>
        <v>1</v>
      </c>
      <c r="C48" s="2" t="s">
        <v>39</v>
      </c>
      <c r="D48" s="1" t="s">
        <v>106</v>
      </c>
      <c r="E48" s="4" t="s">
        <v>107</v>
      </c>
      <c r="F48" s="3">
        <v>569</v>
      </c>
      <c r="G48" s="6">
        <f>Inventario[[#This Row],[Costo Unitario ]]*Inventario[[#This Row],[Cantidad ]]</f>
        <v>569</v>
      </c>
      <c r="H48" s="1">
        <v>1</v>
      </c>
      <c r="I48" s="1">
        <v>0</v>
      </c>
      <c r="J48" s="1"/>
    </row>
    <row r="49" spans="1:10">
      <c r="A49" s="2">
        <v>46267</v>
      </c>
      <c r="B49" s="1">
        <f>Inventario[[#This Row],[Entradas]]-Inventario[[#This Row],[Salidas]]</f>
        <v>2</v>
      </c>
      <c r="C49" s="2" t="s">
        <v>39</v>
      </c>
      <c r="D49" s="1" t="s">
        <v>108</v>
      </c>
      <c r="E49" s="4" t="s">
        <v>109</v>
      </c>
      <c r="F49" s="3">
        <v>569</v>
      </c>
      <c r="G49" s="6">
        <f>Inventario[[#This Row],[Costo Unitario ]]*Inventario[[#This Row],[Cantidad ]]</f>
        <v>1138</v>
      </c>
      <c r="H49" s="1">
        <v>2</v>
      </c>
      <c r="I49" s="1">
        <v>0</v>
      </c>
      <c r="J49" s="1"/>
    </row>
    <row r="50" spans="1:10">
      <c r="A50" s="2">
        <v>46267</v>
      </c>
      <c r="B50" s="1">
        <f>Inventario[[#This Row],[Entradas]]-Inventario[[#This Row],[Salidas]]</f>
        <v>1</v>
      </c>
      <c r="C50" s="2" t="s">
        <v>110</v>
      </c>
      <c r="D50" s="1" t="s">
        <v>111</v>
      </c>
      <c r="E50" s="4" t="s">
        <v>112</v>
      </c>
      <c r="F50" s="3">
        <v>10916</v>
      </c>
      <c r="G50" s="6">
        <f>Inventario[[#This Row],[Costo Unitario ]]*Inventario[[#This Row],[Cantidad ]]</f>
        <v>10916</v>
      </c>
      <c r="H50" s="1">
        <v>1</v>
      </c>
      <c r="I50" s="1">
        <v>0</v>
      </c>
      <c r="J50" s="1"/>
    </row>
    <row r="51" spans="1:10">
      <c r="A51" s="2">
        <v>46267</v>
      </c>
      <c r="B51" s="1">
        <f>Inventario[[#This Row],[Entradas]]-Inventario[[#This Row],[Salidas]]</f>
        <v>10</v>
      </c>
      <c r="C51" s="2" t="s">
        <v>46</v>
      </c>
      <c r="D51" s="1" t="s">
        <v>113</v>
      </c>
      <c r="E51" s="4" t="s">
        <v>114</v>
      </c>
      <c r="F51" s="3">
        <v>94</v>
      </c>
      <c r="G51" s="6">
        <f>Inventario[[#This Row],[Costo Unitario ]]*Inventario[[#This Row],[Cantidad ]]</f>
        <v>940</v>
      </c>
      <c r="H51" s="1">
        <v>10</v>
      </c>
      <c r="I51" s="1">
        <v>0</v>
      </c>
      <c r="J51" s="1"/>
    </row>
    <row r="52" spans="1:10">
      <c r="A52" s="2">
        <v>46267</v>
      </c>
      <c r="B52" s="1">
        <f>Inventario[[#This Row],[Entradas]]-Inventario[[#This Row],[Salidas]]</f>
        <v>1</v>
      </c>
      <c r="C52" s="2" t="s">
        <v>46</v>
      </c>
      <c r="D52" s="1" t="s">
        <v>115</v>
      </c>
      <c r="E52" s="4" t="s">
        <v>116</v>
      </c>
      <c r="F52" s="3">
        <v>155</v>
      </c>
      <c r="G52" s="6">
        <f>Inventario[[#This Row],[Costo Unitario ]]*Inventario[[#This Row],[Cantidad ]]</f>
        <v>155</v>
      </c>
      <c r="H52" s="1">
        <v>1</v>
      </c>
      <c r="I52" s="1">
        <v>0</v>
      </c>
      <c r="J52" s="1"/>
    </row>
    <row r="53" spans="1:10">
      <c r="A53" s="2">
        <v>46267</v>
      </c>
      <c r="B53" s="1">
        <f>Inventario[[#This Row],[Entradas]]-Inventario[[#This Row],[Salidas]]</f>
        <v>2</v>
      </c>
      <c r="C53" s="2" t="s">
        <v>46</v>
      </c>
      <c r="D53" s="1" t="s">
        <v>117</v>
      </c>
      <c r="E53" s="4" t="s">
        <v>118</v>
      </c>
      <c r="F53" s="3">
        <v>160</v>
      </c>
      <c r="G53" s="6">
        <f>Inventario[[#This Row],[Costo Unitario ]]*Inventario[[#This Row],[Cantidad ]]</f>
        <v>320</v>
      </c>
      <c r="H53" s="1">
        <v>2</v>
      </c>
      <c r="I53" s="1">
        <v>0</v>
      </c>
      <c r="J53" s="1"/>
    </row>
    <row r="54" spans="1:10">
      <c r="A54" s="2">
        <v>46267</v>
      </c>
      <c r="B54" s="1">
        <f>Inventario[[#This Row],[Entradas]]-Inventario[[#This Row],[Salidas]]</f>
        <v>1</v>
      </c>
      <c r="C54" s="2" t="s">
        <v>110</v>
      </c>
      <c r="D54" s="1" t="s">
        <v>119</v>
      </c>
      <c r="E54" s="4" t="s">
        <v>120</v>
      </c>
      <c r="F54" s="3">
        <v>920</v>
      </c>
      <c r="G54" s="6">
        <f>Inventario[[#This Row],[Costo Unitario ]]*Inventario[[#This Row],[Cantidad ]]</f>
        <v>920</v>
      </c>
      <c r="H54" s="1">
        <v>1</v>
      </c>
      <c r="I54" s="1">
        <v>0</v>
      </c>
      <c r="J54" s="1"/>
    </row>
    <row r="55" spans="1:10">
      <c r="A55" s="2">
        <v>46267</v>
      </c>
      <c r="B55" s="1">
        <f>Inventario[[#This Row],[Entradas]]-Inventario[[#This Row],[Salidas]]</f>
        <v>2</v>
      </c>
      <c r="C55" s="2" t="s">
        <v>110</v>
      </c>
      <c r="D55" s="1" t="s">
        <v>121</v>
      </c>
      <c r="E55" s="4" t="s">
        <v>122</v>
      </c>
      <c r="F55" s="3">
        <v>460</v>
      </c>
      <c r="G55" s="6">
        <f>Inventario[[#This Row],[Costo Unitario ]]*Inventario[[#This Row],[Cantidad ]]</f>
        <v>920</v>
      </c>
      <c r="H55" s="1">
        <v>2</v>
      </c>
      <c r="I55" s="1">
        <v>0</v>
      </c>
      <c r="J55" s="1"/>
    </row>
    <row r="56" spans="1:10">
      <c r="A56" s="2">
        <v>46267</v>
      </c>
      <c r="B56" s="1">
        <f>Inventario[[#This Row],[Entradas]]-Inventario[[#This Row],[Salidas]]</f>
        <v>1</v>
      </c>
      <c r="C56" s="2" t="s">
        <v>34</v>
      </c>
      <c r="D56" s="1" t="s">
        <v>123</v>
      </c>
      <c r="E56" s="4" t="s">
        <v>124</v>
      </c>
      <c r="F56" s="3">
        <v>103</v>
      </c>
      <c r="G56" s="6">
        <f>Inventario[[#This Row],[Costo Unitario ]]*Inventario[[#This Row],[Cantidad ]]</f>
        <v>103</v>
      </c>
      <c r="H56" s="1">
        <v>1</v>
      </c>
      <c r="I56" s="1">
        <v>0</v>
      </c>
      <c r="J56" s="1"/>
    </row>
    <row r="57" spans="1:10">
      <c r="A57" s="2">
        <v>46267</v>
      </c>
      <c r="B57" s="1">
        <f>Inventario[[#This Row],[Entradas]]-Inventario[[#This Row],[Salidas]]</f>
        <v>2</v>
      </c>
      <c r="C57" s="2" t="s">
        <v>34</v>
      </c>
      <c r="D57" s="1" t="s">
        <v>125</v>
      </c>
      <c r="E57" s="4" t="s">
        <v>126</v>
      </c>
      <c r="F57" s="3">
        <v>180</v>
      </c>
      <c r="G57" s="6">
        <f>Inventario[[#This Row],[Costo Unitario ]]*Inventario[[#This Row],[Cantidad ]]</f>
        <v>360</v>
      </c>
      <c r="H57" s="1">
        <v>2</v>
      </c>
      <c r="I57" s="1">
        <v>0</v>
      </c>
      <c r="J57" s="1"/>
    </row>
    <row r="58" spans="1:10">
      <c r="A58" s="2">
        <v>46267</v>
      </c>
      <c r="B58" s="1">
        <f>Inventario[[#This Row],[Entradas]]-Inventario[[#This Row],[Salidas]]</f>
        <v>1</v>
      </c>
      <c r="C58" s="2" t="s">
        <v>34</v>
      </c>
      <c r="D58" s="1" t="s">
        <v>127</v>
      </c>
      <c r="E58" s="4" t="s">
        <v>128</v>
      </c>
      <c r="F58" s="3">
        <v>150</v>
      </c>
      <c r="G58" s="6">
        <f>Inventario[[#This Row],[Costo Unitario ]]*Inventario[[#This Row],[Cantidad ]]</f>
        <v>150</v>
      </c>
      <c r="H58" s="1">
        <v>1</v>
      </c>
      <c r="I58" s="1">
        <v>0</v>
      </c>
      <c r="J58" s="1"/>
    </row>
    <row r="59" spans="1:10">
      <c r="A59" s="2">
        <v>46267</v>
      </c>
      <c r="B59" s="1">
        <f>Inventario[[#This Row],[Entradas]]-Inventario[[#This Row],[Salidas]]</f>
        <v>2</v>
      </c>
      <c r="C59" s="2" t="s">
        <v>46</v>
      </c>
      <c r="D59" s="1" t="s">
        <v>129</v>
      </c>
      <c r="E59" s="4" t="s">
        <v>130</v>
      </c>
      <c r="F59" s="3">
        <v>480</v>
      </c>
      <c r="G59" s="6">
        <f>Inventario[[#This Row],[Costo Unitario ]]*Inventario[[#This Row],[Cantidad ]]</f>
        <v>960</v>
      </c>
      <c r="H59" s="1">
        <v>2</v>
      </c>
      <c r="I59" s="1">
        <v>0</v>
      </c>
      <c r="J59" s="1"/>
    </row>
    <row r="60" spans="1:10">
      <c r="A60" s="2">
        <v>46267</v>
      </c>
      <c r="B60" s="1">
        <f>Inventario[[#This Row],[Entradas]]-Inventario[[#This Row],[Salidas]]</f>
        <v>1</v>
      </c>
      <c r="C60" s="2" t="s">
        <v>46</v>
      </c>
      <c r="D60" s="1" t="s">
        <v>131</v>
      </c>
      <c r="E60" s="4" t="s">
        <v>132</v>
      </c>
      <c r="F60" s="3">
        <v>1430</v>
      </c>
      <c r="G60" s="6">
        <f>Inventario[[#This Row],[Costo Unitario ]]*Inventario[[#This Row],[Cantidad ]]</f>
        <v>1430</v>
      </c>
      <c r="H60" s="1">
        <v>1</v>
      </c>
      <c r="I60" s="1">
        <v>0</v>
      </c>
      <c r="J60" s="1"/>
    </row>
    <row r="61" spans="1:10">
      <c r="A61" s="2">
        <v>46267</v>
      </c>
      <c r="B61" s="1">
        <f>Inventario[[#This Row],[Entradas]]-Inventario[[#This Row],[Salidas]]</f>
        <v>1</v>
      </c>
      <c r="C61" s="2" t="s">
        <v>39</v>
      </c>
      <c r="D61" s="1" t="s">
        <v>133</v>
      </c>
      <c r="E61" s="4" t="s">
        <v>134</v>
      </c>
      <c r="F61" s="3">
        <v>5105</v>
      </c>
      <c r="G61" s="6">
        <f>Inventario[[#This Row],[Costo Unitario ]]*Inventario[[#This Row],[Cantidad ]]</f>
        <v>5105</v>
      </c>
      <c r="H61" s="1">
        <v>1</v>
      </c>
      <c r="I61" s="1">
        <v>0</v>
      </c>
      <c r="J61" s="1"/>
    </row>
    <row r="62" spans="1:10">
      <c r="A62" s="2">
        <v>46267</v>
      </c>
      <c r="B62" s="1">
        <f>Inventario[[#This Row],[Entradas]]-Inventario[[#This Row],[Salidas]]</f>
        <v>3</v>
      </c>
      <c r="C62" s="2" t="s">
        <v>34</v>
      </c>
      <c r="D62" s="1" t="s">
        <v>135</v>
      </c>
      <c r="E62" s="4" t="s">
        <v>136</v>
      </c>
      <c r="F62" s="3">
        <v>570</v>
      </c>
      <c r="G62" s="6">
        <f>Inventario[[#This Row],[Costo Unitario ]]*Inventario[[#This Row],[Cantidad ]]</f>
        <v>1710</v>
      </c>
      <c r="H62" s="1">
        <v>3</v>
      </c>
      <c r="I62" s="1">
        <v>0</v>
      </c>
      <c r="J62" s="1"/>
    </row>
    <row r="63" spans="1:10">
      <c r="A63" s="2">
        <v>46267</v>
      </c>
      <c r="B63" s="1">
        <f>Inventario[[#This Row],[Entradas]]-Inventario[[#This Row],[Salidas]]</f>
        <v>1</v>
      </c>
      <c r="C63" s="2" t="s">
        <v>34</v>
      </c>
      <c r="D63" s="1" t="s">
        <v>137</v>
      </c>
      <c r="E63" s="4" t="s">
        <v>138</v>
      </c>
      <c r="F63" s="3">
        <v>355</v>
      </c>
      <c r="G63" s="6">
        <f>Inventario[[#This Row],[Costo Unitario ]]*Inventario[[#This Row],[Cantidad ]]</f>
        <v>355</v>
      </c>
      <c r="H63" s="1">
        <v>1</v>
      </c>
      <c r="I63" s="1">
        <v>0</v>
      </c>
      <c r="J63" s="1"/>
    </row>
    <row r="64" spans="1:10">
      <c r="A64" s="2">
        <v>46267</v>
      </c>
      <c r="B64" s="1">
        <f>Inventario[[#This Row],[Entradas]]-Inventario[[#This Row],[Salidas]]</f>
        <v>6</v>
      </c>
      <c r="C64" s="2" t="s">
        <v>11</v>
      </c>
      <c r="D64" s="1" t="s">
        <v>139</v>
      </c>
      <c r="E64" s="4" t="s">
        <v>140</v>
      </c>
      <c r="F64" s="3">
        <v>63.96</v>
      </c>
      <c r="G64" s="6">
        <f>Inventario[[#This Row],[Costo Unitario ]]*Inventario[[#This Row],[Cantidad ]]</f>
        <v>383.76</v>
      </c>
      <c r="H64" s="1">
        <v>6</v>
      </c>
      <c r="I64" s="1">
        <v>0</v>
      </c>
      <c r="J64" s="1"/>
    </row>
    <row r="65" spans="1:10">
      <c r="A65" s="2">
        <v>46064</v>
      </c>
      <c r="B65" s="1">
        <f>Inventario[[#This Row],[Entradas]]-Inventario[[#This Row],[Salidas]]</f>
        <v>1</v>
      </c>
      <c r="C65" s="2" t="s">
        <v>110</v>
      </c>
      <c r="D65" s="1" t="s">
        <v>141</v>
      </c>
      <c r="E65" s="4" t="s">
        <v>142</v>
      </c>
      <c r="F65" s="3">
        <v>1201.8499999999999</v>
      </c>
      <c r="G65" s="6">
        <f>Inventario[[#This Row],[Costo Unitario ]]*Inventario[[#This Row],[Cantidad ]]</f>
        <v>1201.8499999999999</v>
      </c>
      <c r="H65" s="1">
        <v>1</v>
      </c>
      <c r="I65" s="1"/>
      <c r="J65" s="1"/>
    </row>
    <row r="66" spans="1:10">
      <c r="A66" s="2">
        <v>46064</v>
      </c>
      <c r="B66" s="1">
        <f>Inventario[[#This Row],[Entradas]]-Inventario[[#This Row],[Salidas]]</f>
        <v>1</v>
      </c>
      <c r="C66" s="2" t="s">
        <v>110</v>
      </c>
      <c r="D66" s="1" t="s">
        <v>143</v>
      </c>
      <c r="E66" s="4" t="s">
        <v>144</v>
      </c>
      <c r="F66" s="3">
        <v>1696.7</v>
      </c>
      <c r="G66" s="6">
        <f>Inventario[[#This Row],[Costo Unitario ]]*Inventario[[#This Row],[Cantidad ]]</f>
        <v>1696.7</v>
      </c>
      <c r="H66" s="1">
        <v>1</v>
      </c>
      <c r="I66" s="1"/>
      <c r="J66" s="1"/>
    </row>
    <row r="67" spans="1:10">
      <c r="A67" s="2">
        <v>46064</v>
      </c>
      <c r="B67" s="1">
        <f>Inventario[[#This Row],[Entradas]]-Inventario[[#This Row],[Salidas]]</f>
        <v>2</v>
      </c>
      <c r="C67" s="2" t="s">
        <v>110</v>
      </c>
      <c r="D67" s="1" t="s">
        <v>145</v>
      </c>
      <c r="E67" s="4" t="s">
        <v>146</v>
      </c>
      <c r="F67" s="3">
        <v>2150.5100000000002</v>
      </c>
      <c r="G67" s="6">
        <f>Inventario[[#This Row],[Costo Unitario ]]*Inventario[[#This Row],[Cantidad ]]</f>
        <v>4301.0200000000004</v>
      </c>
      <c r="H67" s="1">
        <v>2</v>
      </c>
      <c r="I67" s="1"/>
      <c r="J67" s="1"/>
    </row>
    <row r="68" spans="1:10">
      <c r="A68" s="2">
        <v>46064</v>
      </c>
      <c r="B68" s="1">
        <f>Inventario[[#This Row],[Entradas]]-Inventario[[#This Row],[Salidas]]</f>
        <v>1</v>
      </c>
      <c r="C68" s="2" t="s">
        <v>39</v>
      </c>
      <c r="D68" s="1" t="s">
        <v>147</v>
      </c>
      <c r="E68" s="4" t="s">
        <v>148</v>
      </c>
      <c r="F68" s="3">
        <v>895</v>
      </c>
      <c r="G68" s="6">
        <f>Inventario[[#This Row],[Costo Unitario ]]*Inventario[[#This Row],[Cantidad ]]</f>
        <v>895</v>
      </c>
      <c r="H68" s="1">
        <v>1</v>
      </c>
      <c r="I68" s="1"/>
      <c r="J68" s="1"/>
    </row>
    <row r="69" spans="1:10">
      <c r="A69" s="2">
        <v>46064</v>
      </c>
      <c r="B69" s="1">
        <f>Inventario[[#This Row],[Entradas]]-Inventario[[#This Row],[Salidas]]</f>
        <v>1</v>
      </c>
      <c r="C69" s="2" t="s">
        <v>149</v>
      </c>
      <c r="D69" s="1" t="s">
        <v>150</v>
      </c>
      <c r="E69" s="4" t="s">
        <v>151</v>
      </c>
      <c r="F69" s="3">
        <v>909.78</v>
      </c>
      <c r="G69" s="6">
        <f>Inventario[[#This Row],[Costo Unitario ]]*Inventario[[#This Row],[Cantidad ]]</f>
        <v>909.78</v>
      </c>
      <c r="H69" s="1">
        <v>1</v>
      </c>
      <c r="I69" s="1"/>
      <c r="J69" s="1"/>
    </row>
    <row r="70" spans="1:10">
      <c r="A70" s="2">
        <v>46064</v>
      </c>
      <c r="B70" s="1">
        <f>Inventario[[#This Row],[Entradas]]-Inventario[[#This Row],[Salidas]]</f>
        <v>1</v>
      </c>
      <c r="C70" s="2" t="s">
        <v>34</v>
      </c>
      <c r="D70" s="1" t="s">
        <v>152</v>
      </c>
      <c r="E70" s="4" t="s">
        <v>153</v>
      </c>
      <c r="F70" s="3">
        <v>1270</v>
      </c>
      <c r="G70" s="6">
        <f>Inventario[[#This Row],[Costo Unitario ]]*Inventario[[#This Row],[Cantidad ]]</f>
        <v>1270</v>
      </c>
      <c r="H70" s="1">
        <v>1</v>
      </c>
      <c r="I70" s="1"/>
      <c r="J70" s="1"/>
    </row>
    <row r="71" spans="1:10">
      <c r="A71" s="2">
        <v>46064</v>
      </c>
      <c r="B71" s="1">
        <f>Inventario[[#This Row],[Entradas]]-Inventario[[#This Row],[Salidas]]</f>
        <v>2</v>
      </c>
      <c r="C71" s="2" t="s">
        <v>34</v>
      </c>
      <c r="D71" s="1" t="s">
        <v>154</v>
      </c>
      <c r="E71" s="4" t="s">
        <v>155</v>
      </c>
      <c r="F71" s="3">
        <v>600</v>
      </c>
      <c r="G71" s="6">
        <f>Inventario[[#This Row],[Costo Unitario ]]*Inventario[[#This Row],[Cantidad ]]</f>
        <v>1200</v>
      </c>
      <c r="H71" s="1">
        <v>2</v>
      </c>
      <c r="I71" s="1"/>
      <c r="J71" s="1"/>
    </row>
    <row r="72" spans="1:10">
      <c r="A72" s="2">
        <v>46064</v>
      </c>
      <c r="B72" s="1">
        <f>Inventario[[#This Row],[Entradas]]-Inventario[[#This Row],[Salidas]]</f>
        <v>1</v>
      </c>
      <c r="C72" s="2" t="s">
        <v>34</v>
      </c>
      <c r="D72" s="1" t="s">
        <v>154</v>
      </c>
      <c r="E72" s="4" t="s">
        <v>156</v>
      </c>
      <c r="F72" s="3">
        <v>500</v>
      </c>
      <c r="G72" s="6">
        <f>Inventario[[#This Row],[Costo Unitario ]]*Inventario[[#This Row],[Cantidad ]]</f>
        <v>500</v>
      </c>
      <c r="H72" s="1">
        <v>1</v>
      </c>
      <c r="I72" s="1"/>
      <c r="J72" s="1"/>
    </row>
    <row r="73" spans="1:10">
      <c r="A73" s="12">
        <v>46069</v>
      </c>
      <c r="B73" s="1">
        <f>Inventario[[#This Row],[Entradas]]-Inventario[[#This Row],[Salidas]]</f>
        <v>3</v>
      </c>
      <c r="C73" s="10" t="s">
        <v>11</v>
      </c>
      <c r="D73" s="1" t="s">
        <v>154</v>
      </c>
      <c r="E73" s="4" t="s">
        <v>157</v>
      </c>
      <c r="F73" s="3">
        <v>86.03</v>
      </c>
      <c r="G73" s="6">
        <f>Inventario[[#This Row],[Costo Unitario ]]*Inventario[[#This Row],[Cantidad ]]</f>
        <v>258.09000000000003</v>
      </c>
      <c r="H73" s="1">
        <v>3</v>
      </c>
      <c r="I73" s="1"/>
      <c r="J73" s="1"/>
    </row>
    <row r="74" spans="1:10">
      <c r="A74" s="12">
        <v>46069</v>
      </c>
      <c r="B74" s="1">
        <f>Inventario[[#This Row],[Entradas]]-Inventario[[#This Row],[Salidas]]</f>
        <v>4</v>
      </c>
      <c r="C74" s="10" t="s">
        <v>11</v>
      </c>
      <c r="D74" s="1" t="s">
        <v>154</v>
      </c>
      <c r="E74" s="4" t="s">
        <v>158</v>
      </c>
      <c r="F74" s="3">
        <v>50</v>
      </c>
      <c r="G74" s="6">
        <f>Inventario[[#This Row],[Costo Unitario ]]*Inventario[[#This Row],[Cantidad ]]</f>
        <v>200</v>
      </c>
      <c r="H74" s="1">
        <v>4</v>
      </c>
      <c r="I74" s="1"/>
      <c r="J74" s="1"/>
    </row>
    <row r="75" spans="1:10">
      <c r="A75" s="12">
        <v>46069</v>
      </c>
      <c r="B75" s="1">
        <f>Inventario[[#This Row],[Entradas]]-Inventario[[#This Row],[Salidas]]</f>
        <v>1</v>
      </c>
      <c r="C75" s="10" t="s">
        <v>11</v>
      </c>
      <c r="D75" s="1" t="s">
        <v>154</v>
      </c>
      <c r="E75" s="4" t="s">
        <v>159</v>
      </c>
      <c r="F75" s="3">
        <v>195</v>
      </c>
      <c r="G75" s="6">
        <f>Inventario[[#This Row],[Costo Unitario ]]*Inventario[[#This Row],[Cantidad ]]</f>
        <v>195</v>
      </c>
      <c r="H75" s="1">
        <v>1</v>
      </c>
      <c r="I75" s="1"/>
      <c r="J75" s="1"/>
    </row>
    <row r="76" spans="1:10">
      <c r="A76" s="12">
        <v>46069</v>
      </c>
      <c r="B76" s="1">
        <f>Inventario[[#This Row],[Entradas]]-Inventario[[#This Row],[Salidas]]</f>
        <v>1</v>
      </c>
      <c r="C76" s="10" t="s">
        <v>34</v>
      </c>
      <c r="D76" s="1" t="s">
        <v>160</v>
      </c>
      <c r="E76" s="4" t="s">
        <v>161</v>
      </c>
      <c r="F76" s="3">
        <v>1175</v>
      </c>
      <c r="G76" s="6">
        <f>Inventario[[#This Row],[Costo Unitario ]]*Inventario[[#This Row],[Cantidad ]]</f>
        <v>1175</v>
      </c>
      <c r="H76" s="1">
        <v>1</v>
      </c>
      <c r="I76" s="1"/>
      <c r="J76" s="1"/>
    </row>
    <row r="77" spans="1:10">
      <c r="A77" s="12">
        <v>46069</v>
      </c>
      <c r="B77" s="1">
        <f>Inventario[[#This Row],[Entradas]]-Inventario[[#This Row],[Salidas]]</f>
        <v>1</v>
      </c>
      <c r="C77" s="10" t="s">
        <v>34</v>
      </c>
      <c r="D77" s="1" t="s">
        <v>162</v>
      </c>
      <c r="E77" s="4" t="s">
        <v>163</v>
      </c>
      <c r="F77" s="3">
        <v>294</v>
      </c>
      <c r="G77" s="6">
        <f>Inventario[[#This Row],[Costo Unitario ]]*Inventario[[#This Row],[Cantidad ]]</f>
        <v>294</v>
      </c>
      <c r="H77" s="1">
        <v>1</v>
      </c>
      <c r="I77" s="1"/>
      <c r="J77" s="1"/>
    </row>
    <row r="78" spans="1:10">
      <c r="A78" s="12">
        <v>46069</v>
      </c>
      <c r="B78" s="1">
        <f>Inventario[[#This Row],[Entradas]]-Inventario[[#This Row],[Salidas]]</f>
        <v>1</v>
      </c>
      <c r="C78" s="10" t="s">
        <v>11</v>
      </c>
      <c r="D78" s="1" t="s">
        <v>164</v>
      </c>
      <c r="E78" s="4" t="s">
        <v>165</v>
      </c>
      <c r="F78" s="3">
        <v>5.3</v>
      </c>
      <c r="G78" s="6">
        <f>Inventario[[#This Row],[Costo Unitario ]]*Inventario[[#This Row],[Cantidad ]]</f>
        <v>5.3</v>
      </c>
      <c r="H78" s="1">
        <v>1</v>
      </c>
      <c r="I78" s="1"/>
      <c r="J78" s="1"/>
    </row>
    <row r="79" spans="1:10">
      <c r="A79" s="12">
        <v>46069</v>
      </c>
      <c r="B79" s="1">
        <f>Inventario[[#This Row],[Entradas]]-Inventario[[#This Row],[Salidas]]</f>
        <v>2</v>
      </c>
      <c r="C79" s="10" t="s">
        <v>34</v>
      </c>
      <c r="D79" s="1" t="s">
        <v>166</v>
      </c>
      <c r="E79" s="4" t="s">
        <v>167</v>
      </c>
      <c r="F79" s="3">
        <v>793.74</v>
      </c>
      <c r="G79" s="6">
        <f>Inventario[[#This Row],[Costo Unitario ]]*Inventario[[#This Row],[Cantidad ]]</f>
        <v>1587.48</v>
      </c>
      <c r="H79" s="1">
        <v>2</v>
      </c>
      <c r="I79" s="1"/>
      <c r="J79" s="1"/>
    </row>
    <row r="80" spans="1:10">
      <c r="A80" s="10"/>
      <c r="B80" s="1">
        <f>Inventario[[#This Row],[Entradas]]-Inventario[[#This Row],[Salidas]]</f>
        <v>0</v>
      </c>
      <c r="C80" s="10"/>
      <c r="D80" s="1"/>
      <c r="E80" s="4"/>
      <c r="F80" s="3"/>
      <c r="G80" s="6">
        <f>Inventario[[#This Row],[Costo Unitario ]]*Inventario[[#This Row],[Cantidad ]]</f>
        <v>0</v>
      </c>
      <c r="H80" s="1"/>
      <c r="I80" s="1"/>
      <c r="J80" s="1"/>
    </row>
    <row r="81" spans="1:10">
      <c r="A81" s="10"/>
      <c r="B81" s="1">
        <f>Inventario[[#This Row],[Entradas]]-Inventario[[#This Row],[Salidas]]</f>
        <v>0</v>
      </c>
      <c r="C81" s="10"/>
      <c r="D81" s="1"/>
      <c r="E81" s="4"/>
      <c r="F81" s="3"/>
      <c r="G81" s="6">
        <f>Inventario[[#This Row],[Costo Unitario ]]*Inventario[[#This Row],[Cantidad ]]</f>
        <v>0</v>
      </c>
      <c r="H81" s="1"/>
      <c r="I81" s="1"/>
      <c r="J81" s="1"/>
    </row>
    <row r="82" spans="1:10">
      <c r="A82" s="10"/>
      <c r="B82" s="1">
        <f>Inventario[[#This Row],[Entradas]]-Inventario[[#This Row],[Salidas]]</f>
        <v>0</v>
      </c>
      <c r="C82" s="10"/>
      <c r="D82" s="1"/>
      <c r="E82" s="4"/>
      <c r="F82" s="3"/>
      <c r="G82" s="6">
        <f>Inventario[[#This Row],[Costo Unitario ]]*Inventario[[#This Row],[Cantidad ]]</f>
        <v>0</v>
      </c>
      <c r="H82" s="1"/>
      <c r="I82" s="1"/>
      <c r="J82" s="1"/>
    </row>
    <row r="83" spans="1:10">
      <c r="A83" s="10"/>
      <c r="B83" s="1">
        <f>Inventario[[#This Row],[Entradas]]-Inventario[[#This Row],[Salidas]]</f>
        <v>0</v>
      </c>
      <c r="C83" s="10"/>
      <c r="D83" s="1"/>
      <c r="E83" s="4"/>
      <c r="F83" s="3"/>
      <c r="G83" s="6">
        <f>Inventario[[#This Row],[Costo Unitario ]]*Inventario[[#This Row],[Cantidad ]]</f>
        <v>0</v>
      </c>
      <c r="H83" s="1"/>
      <c r="I83" s="1"/>
      <c r="J83" s="1"/>
    </row>
    <row r="84" spans="1:10">
      <c r="A84" s="10"/>
      <c r="B84" s="1">
        <f>Inventario[[#This Row],[Entradas]]-Inventario[[#This Row],[Salidas]]</f>
        <v>0</v>
      </c>
      <c r="C84" s="10"/>
      <c r="D84" s="1"/>
      <c r="E84" s="4"/>
      <c r="F84" s="3"/>
      <c r="G84" s="6">
        <f>Inventario[[#This Row],[Costo Unitario ]]*Inventario[[#This Row],[Cantidad ]]</f>
        <v>0</v>
      </c>
      <c r="H84" s="1"/>
      <c r="I84" s="1"/>
      <c r="J84" s="1"/>
    </row>
    <row r="85" spans="1:10">
      <c r="A85" s="10"/>
      <c r="B85" s="1">
        <f>Inventario[[#This Row],[Entradas]]-Inventario[[#This Row],[Salidas]]</f>
        <v>0</v>
      </c>
      <c r="C85" s="10"/>
      <c r="D85" s="1"/>
      <c r="E85" s="4"/>
      <c r="F85" s="3"/>
      <c r="G85" s="6">
        <f>Inventario[[#This Row],[Costo Unitario ]]*Inventario[[#This Row],[Cantidad ]]</f>
        <v>0</v>
      </c>
      <c r="H85" s="1"/>
      <c r="I85" s="1"/>
      <c r="J85" s="1"/>
    </row>
    <row r="86" spans="1:10">
      <c r="A86" s="10"/>
      <c r="B86" s="1">
        <f>Inventario[[#This Row],[Entradas]]-Inventario[[#This Row],[Salidas]]</f>
        <v>0</v>
      </c>
      <c r="C86" s="10"/>
      <c r="D86" s="1"/>
      <c r="E86" s="4"/>
      <c r="F86" s="3"/>
      <c r="G86" s="6">
        <f>Inventario[[#This Row],[Costo Unitario ]]*Inventario[[#This Row],[Cantidad ]]</f>
        <v>0</v>
      </c>
      <c r="H86" s="1"/>
      <c r="I86" s="1"/>
      <c r="J86" s="1"/>
    </row>
  </sheetData>
  <mergeCells count="1">
    <mergeCell ref="A3:I3"/>
  </mergeCells>
  <phoneticPr fontId="2" type="noConversion"/>
  <conditionalFormatting sqref="B5:B86">
    <cfRule type="cellIs" dxfId="23" priority="7" operator="greaterThan">
      <formula>2</formula>
    </cfRule>
    <cfRule type="cellIs" dxfId="22" priority="2" operator="greaterThanOrEqual">
      <formula>2</formula>
    </cfRule>
  </conditionalFormatting>
  <conditionalFormatting sqref="B5:B86">
    <cfRule type="cellIs" dxfId="21" priority="6" operator="greaterThan">
      <formula>2</formula>
    </cfRule>
  </conditionalFormatting>
  <conditionalFormatting sqref="B5:B86">
    <cfRule type="cellIs" dxfId="20" priority="5" operator="lessThan">
      <formula>2</formula>
    </cfRule>
  </conditionalFormatting>
  <conditionalFormatting sqref="B5:B86">
    <cfRule type="cellIs" dxfId="19" priority="4" operator="equal">
      <formula>0</formula>
    </cfRule>
  </conditionalFormatting>
  <conditionalFormatting sqref="B5:B86">
    <cfRule type="cellIs" priority="3" operator="greaterThanOrEqual">
      <formula>2</formula>
    </cfRule>
  </conditionalFormatting>
  <conditionalFormatting sqref="B1:B3 B5:B1048576">
    <cfRule type="cellIs" dxfId="18" priority="1" operator="greaterThanOrEqual">
      <formula>2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Arturo Moreno</dc:creator>
  <cp:keywords/>
  <dc:description/>
  <cp:lastModifiedBy>Usuario invitado</cp:lastModifiedBy>
  <cp:revision/>
  <dcterms:created xsi:type="dcterms:W3CDTF">2026-02-09T19:05:06Z</dcterms:created>
  <dcterms:modified xsi:type="dcterms:W3CDTF">2026-02-16T15:06:19Z</dcterms:modified>
  <cp:category/>
  <cp:contentStatus/>
</cp:coreProperties>
</file>