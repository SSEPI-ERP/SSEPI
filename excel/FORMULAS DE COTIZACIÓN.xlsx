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el\OneDrive\Desktop\"/>
    </mc:Choice>
  </mc:AlternateContent>
  <xr:revisionPtr revIDLastSave="0" documentId="13_ncr:1_{33EE0F85-57D7-4385-816D-CB795B8032F7}" xr6:coauthVersionLast="47" xr6:coauthVersionMax="47" xr10:uidLastSave="{00000000-0000-0000-0000-000000000000}"/>
  <bookViews>
    <workbookView xWindow="-165" yWindow="-165" windowWidth="29130" windowHeight="15810" activeTab="1" xr2:uid="{B8EF8191-E857-4727-A73F-34F9264FDB1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2" l="1"/>
  <c r="O7" i="2" s="1"/>
  <c r="P7" i="2" s="1"/>
  <c r="O18" i="2"/>
  <c r="P18" i="2" s="1"/>
  <c r="O5" i="2"/>
  <c r="P5" i="2" s="1"/>
  <c r="O6" i="2"/>
  <c r="P6" i="2" s="1"/>
  <c r="O8" i="2"/>
  <c r="P8" i="2" s="1"/>
  <c r="O9" i="2"/>
  <c r="P9" i="2" s="1"/>
  <c r="O10" i="2"/>
  <c r="P10" i="2" s="1"/>
  <c r="O12" i="2"/>
  <c r="P12" i="2" s="1"/>
  <c r="O13" i="2"/>
  <c r="P13" i="2" s="1"/>
  <c r="O14" i="2"/>
  <c r="P14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3" i="2"/>
  <c r="P3" i="2" s="1"/>
  <c r="M11" i="2"/>
  <c r="O15" i="2"/>
  <c r="P15" i="2" s="1"/>
  <c r="O27" i="2"/>
  <c r="P27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H2" i="2"/>
  <c r="O4" i="2"/>
  <c r="P4" i="2" s="1"/>
  <c r="O16" i="2"/>
  <c r="P16" i="2" s="1"/>
  <c r="O17" i="2"/>
  <c r="P17" i="2" s="1"/>
  <c r="O19" i="2"/>
  <c r="P19" i="2" s="1"/>
  <c r="O20" i="2"/>
  <c r="P20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M2" i="2"/>
  <c r="J2" i="2"/>
  <c r="M3" i="2"/>
  <c r="M4" i="2"/>
  <c r="M5" i="2"/>
  <c r="M6" i="2"/>
  <c r="M7" i="2"/>
  <c r="M8" i="2"/>
  <c r="M9" i="2"/>
  <c r="M10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H27" i="1"/>
  <c r="H28" i="1"/>
  <c r="H29" i="1"/>
  <c r="H30" i="1"/>
  <c r="H31" i="1"/>
  <c r="H32" i="1"/>
  <c r="H33" i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H20" i="1"/>
  <c r="H21" i="1"/>
  <c r="H22" i="1"/>
  <c r="H23" i="1"/>
  <c r="H24" i="1"/>
  <c r="H25" i="1"/>
  <c r="H26" i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" i="1"/>
  <c r="E2" i="1" s="1"/>
  <c r="C3" i="1"/>
  <c r="E3" i="1" s="1"/>
  <c r="H11" i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" i="1"/>
  <c r="O11" i="2" l="1"/>
  <c r="P11" i="2" s="1"/>
  <c r="N2" i="2"/>
  <c r="O2" i="2" s="1"/>
  <c r="P2" i="2" s="1"/>
  <c r="I27" i="1"/>
  <c r="I33" i="1"/>
  <c r="I3" i="1"/>
  <c r="I8" i="1"/>
  <c r="I26" i="1"/>
  <c r="I29" i="1"/>
  <c r="I25" i="1"/>
  <c r="I24" i="1"/>
  <c r="I32" i="1"/>
  <c r="I31" i="1"/>
  <c r="I30" i="1"/>
  <c r="I28" i="1"/>
  <c r="I20" i="1"/>
  <c r="I23" i="1"/>
  <c r="I22" i="1"/>
  <c r="I21" i="1"/>
  <c r="I15" i="1"/>
  <c r="I19" i="1"/>
  <c r="I11" i="1"/>
  <c r="I18" i="1"/>
  <c r="I12" i="1"/>
  <c r="I17" i="1"/>
  <c r="I14" i="1"/>
  <c r="I13" i="1"/>
  <c r="I6" i="1"/>
  <c r="I7" i="1"/>
  <c r="I2" i="1"/>
  <c r="I10" i="1"/>
  <c r="I5" i="1"/>
  <c r="I16" i="1"/>
  <c r="I4" i="1"/>
  <c r="I9" i="1"/>
</calcChain>
</file>

<file path=xl/sharedStrings.xml><?xml version="1.0" encoding="utf-8"?>
<sst xmlns="http://schemas.openxmlformats.org/spreadsheetml/2006/main" count="89" uniqueCount="54">
  <si>
    <t>EMPRESA</t>
  </si>
  <si>
    <t>$ GASOLINA</t>
  </si>
  <si>
    <t xml:space="preserve">BOLSAS DE LOS ALTOS </t>
  </si>
  <si>
    <t xml:space="preserve">TOTAL </t>
  </si>
  <si>
    <t>EPC 1</t>
  </si>
  <si>
    <t>ANGUIPALST</t>
  </si>
  <si>
    <t>KM  X2</t>
  </si>
  <si>
    <t>ECOBOLSAS</t>
  </si>
  <si>
    <t>BADER TABACHINES</t>
  </si>
  <si>
    <t>BODYCOTE</t>
  </si>
  <si>
    <t>COFICAB</t>
  </si>
  <si>
    <t>CONDUMEX</t>
  </si>
  <si>
    <t>ECSA</t>
  </si>
  <si>
    <t>EMMSA</t>
  </si>
  <si>
    <t>EPC 2</t>
  </si>
  <si>
    <t>FRAENKISCHE</t>
  </si>
  <si>
    <t>GEDNEY</t>
  </si>
  <si>
    <t>GRUPO ACERERO</t>
  </si>
  <si>
    <t>HALL PLANTA 1</t>
  </si>
  <si>
    <t>HIRUTA PLANTA 1</t>
  </si>
  <si>
    <t>IK PLASTIC</t>
  </si>
  <si>
    <t>IMPRENTA JM</t>
  </si>
  <si>
    <t>JARDÍN LA ALEMANA</t>
  </si>
  <si>
    <t>MAFLOW</t>
  </si>
  <si>
    <t>MARQUARDT</t>
  </si>
  <si>
    <t>MICROONDA</t>
  </si>
  <si>
    <t>MR LUCKY</t>
  </si>
  <si>
    <t>NHK</t>
  </si>
  <si>
    <t>NISHIKAWA</t>
  </si>
  <si>
    <t>PIELES AZTECA</t>
  </si>
  <si>
    <t>RONGTAI</t>
  </si>
  <si>
    <t>SAFE DEMO</t>
  </si>
  <si>
    <t>SUACERO</t>
  </si>
  <si>
    <t>TQ-1</t>
  </si>
  <si>
    <t>MINO INDUSTRY</t>
  </si>
  <si>
    <t>$ GASOLINA2</t>
  </si>
  <si>
    <t>LITROS</t>
  </si>
  <si>
    <t xml:space="preserve">HRS </t>
  </si>
  <si>
    <t>ELECTROFORJADOS</t>
  </si>
  <si>
    <t>$ DANI</t>
  </si>
  <si>
    <t>HR DANI</t>
  </si>
  <si>
    <t>VENTAS</t>
  </si>
  <si>
    <t>TOTAL</t>
  </si>
  <si>
    <t>REFACCIONES</t>
  </si>
  <si>
    <t>M.OBRA X HR.</t>
  </si>
  <si>
    <t>TIEMP. INVERTIDO</t>
  </si>
  <si>
    <t>CAMIONETA X HORA</t>
  </si>
  <si>
    <t>TIEMPO ENTREGA</t>
  </si>
  <si>
    <t>GASTOS GENERALES</t>
  </si>
  <si>
    <t>GASTOS FIJOS X HORA</t>
  </si>
  <si>
    <t>UTLIDAD 40%</t>
  </si>
  <si>
    <t>CREDITO 3%</t>
  </si>
  <si>
    <t>EPC1</t>
  </si>
  <si>
    <t>ANGUIPLAST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</si>
</sst>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44" fontId="2" fillId="0" borderId="3" xfId="1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2" borderId="3" xfId="1" applyFont="1" applyFill="1" applyBorder="1"/>
    <xf numFmtId="44" fontId="0" fillId="3" borderId="1" xfId="1" applyFont="1" applyFill="1" applyBorder="1"/>
    <xf numFmtId="44" fontId="0" fillId="3" borderId="1" xfId="1" applyFont="1" applyFill="1" applyBorder="1" applyAlignment="1">
      <alignment horizontal="center"/>
    </xf>
    <xf numFmtId="0" fontId="0" fillId="0" borderId="2" xfId="0" applyBorder="1" applyAlignment="1">
      <alignment wrapText="1"/>
    </xf>
    <xf numFmtId="44" fontId="0" fillId="4" borderId="1" xfId="1" applyFont="1" applyFill="1" applyBorder="1"/>
    <xf numFmtId="0" fontId="3" fillId="5" borderId="1" xfId="0" applyFont="1" applyFill="1" applyBorder="1" applyAlignment="1">
      <alignment horizontal="center"/>
    </xf>
    <xf numFmtId="0" fontId="0" fillId="6" borderId="1" xfId="0" applyFont="1" applyFill="1" applyBorder="1"/>
    <xf numFmtId="0" fontId="0" fillId="0" borderId="1" xfId="0" applyFont="1" applyBorder="1"/>
    <xf numFmtId="0" fontId="0" fillId="6" borderId="6" xfId="0" applyFont="1" applyFill="1" applyBorder="1"/>
    <xf numFmtId="0" fontId="0" fillId="6" borderId="1" xfId="0" applyFont="1" applyFill="1" applyBorder="1" applyAlignment="1">
      <alignment wrapText="1"/>
    </xf>
    <xf numFmtId="44" fontId="0" fillId="7" borderId="1" xfId="0" applyNumberFormat="1" applyFill="1" applyBorder="1"/>
    <xf numFmtId="0" fontId="0" fillId="0" borderId="0" xfId="0" applyNumberFormat="1"/>
    <xf numFmtId="44" fontId="0" fillId="8" borderId="1" xfId="1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44" fontId="0" fillId="8" borderId="1" xfId="1" applyFont="1" applyFill="1" applyBorder="1"/>
    <xf numFmtId="0" fontId="0" fillId="8" borderId="1" xfId="0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44" fontId="0" fillId="4" borderId="1" xfId="0" applyNumberFormat="1" applyFont="1" applyFill="1" applyBorder="1"/>
    <xf numFmtId="44" fontId="4" fillId="10" borderId="1" xfId="1" applyFont="1" applyFill="1" applyBorder="1" applyAlignment="1">
      <alignment horizontal="center"/>
    </xf>
    <xf numFmtId="44" fontId="4" fillId="10" borderId="1" xfId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44" fontId="0" fillId="8" borderId="7" xfId="1" applyNumberFormat="1" applyFont="1" applyFill="1" applyBorder="1" applyAlignment="1">
      <alignment horizontal="center"/>
    </xf>
    <xf numFmtId="0" fontId="0" fillId="9" borderId="7" xfId="0" applyFont="1" applyFill="1" applyBorder="1" applyAlignment="1">
      <alignment horizontal="center"/>
    </xf>
    <xf numFmtId="44" fontId="0" fillId="8" borderId="7" xfId="1" applyFont="1" applyFill="1" applyBorder="1"/>
    <xf numFmtId="44" fontId="0" fillId="4" borderId="7" xfId="0" applyNumberFormat="1" applyFont="1" applyFill="1" applyBorder="1"/>
    <xf numFmtId="0" fontId="4" fillId="10" borderId="1" xfId="0" applyFont="1" applyFill="1" applyBorder="1" applyAlignment="1">
      <alignment horizontal="center" wrapText="1"/>
    </xf>
    <xf numFmtId="0" fontId="4" fillId="10" borderId="1" xfId="0" applyNumberFormat="1" applyFont="1" applyFill="1" applyBorder="1" applyAlignment="1">
      <alignment horizontal="center" wrapText="1"/>
    </xf>
    <xf numFmtId="0" fontId="4" fillId="10" borderId="1" xfId="0" applyNumberFormat="1" applyFont="1" applyFill="1" applyBorder="1" applyAlignment="1">
      <alignment horizontal="center"/>
    </xf>
    <xf numFmtId="0" fontId="0" fillId="0" borderId="1" xfId="1" applyNumberFormat="1" applyFont="1" applyBorder="1"/>
    <xf numFmtId="44" fontId="0" fillId="4" borderId="1" xfId="1" applyNumberFormat="1" applyFont="1" applyFill="1" applyBorder="1"/>
    <xf numFmtId="44" fontId="0" fillId="4" borderId="1" xfId="0" applyNumberFormat="1" applyFill="1" applyBorder="1"/>
    <xf numFmtId="44" fontId="0" fillId="8" borderId="1" xfId="0" applyNumberFormat="1" applyFill="1" applyBorder="1"/>
    <xf numFmtId="0" fontId="4" fillId="10" borderId="1" xfId="0" applyFont="1" applyFill="1" applyBorder="1"/>
  </cellXfs>
  <cellStyles count="2">
    <cellStyle name="Moneda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F1B84-6B99-40BA-B3BC-38CBEA1CB335}" name="Tabla1" displayName="Tabla1" ref="A1:I33" totalsRowShown="0" headerRowDxfId="12" headerRowBorderDxfId="11" tableBorderDxfId="10" totalsRowBorderDxfId="9" headerRowCellStyle="Moneda">
  <autoFilter ref="A1:I33" xr:uid="{96EF1B84-6B99-40BA-B3BC-38CBEA1CB335}"/>
  <tableColumns count="9">
    <tableColumn id="1" xr3:uid="{8F64CD93-1C10-4FBF-A31B-C5A8C6F805C0}" name="EMPRESA" dataDxfId="8"/>
    <tableColumn id="2" xr3:uid="{BFE8B1A1-8E69-4F2A-8A8D-39000F990F80}" name="KM  X2" dataDxfId="7"/>
    <tableColumn id="3" xr3:uid="{520DF1D6-78C5-4414-96F7-CD78E658F8E4}" name="LITROS" dataDxfId="6"/>
    <tableColumn id="4" xr3:uid="{7AEFDB6E-EBA1-4637-8CD4-4576E08411AF}" name="$ GASOLINA" dataDxfId="5"/>
    <tableColumn id="5" xr3:uid="{D8D62ED6-C41C-4C9B-981A-D7A42B0CF184}" name="$ GASOLINA2" dataDxfId="4" dataCellStyle="Moneda"/>
    <tableColumn id="6" xr3:uid="{5981A9BA-2F57-43F4-9210-3E5720DE1D55}" name="HRS " dataDxfId="3"/>
    <tableColumn id="7" xr3:uid="{387ADBD6-02CE-4D75-9A22-6269ED52FFF5}" name="HR DANI" dataDxfId="2" dataCellStyle="Moneda"/>
    <tableColumn id="8" xr3:uid="{EEBB027B-D031-4A8A-A878-7DA49032F1A7}" name="$ DANI" dataDxfId="1" dataCellStyle="Moneda"/>
    <tableColumn id="9" xr3:uid="{B914243C-55FB-46A2-9154-80A6E4E10ED2}" name="TOTAL 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893D-D7F7-4566-B86E-96480B500564}">
  <sheetPr>
    <pageSetUpPr fitToPage="1"/>
  </sheetPr>
  <dimension ref="A1:I33"/>
  <sheetViews>
    <sheetView workbookViewId="0">
      <selection activeCell="F2" sqref="F2:F33"/>
    </sheetView>
  </sheetViews>
  <sheetFormatPr baseColWidth="10" defaultRowHeight="14.5" x14ac:dyDescent="0.35"/>
  <cols>
    <col min="1" max="1" width="22.453125" customWidth="1"/>
    <col min="2" max="2" width="12" style="1" customWidth="1"/>
    <col min="3" max="3" width="14" style="1" customWidth="1"/>
    <col min="4" max="4" width="15.54296875" style="1" customWidth="1"/>
    <col min="5" max="5" width="17.54296875" style="3" customWidth="1"/>
    <col min="6" max="6" width="10.453125" style="1" customWidth="1"/>
    <col min="7" max="7" width="13" style="2" customWidth="1"/>
    <col min="8" max="8" width="12.1796875" style="2" customWidth="1"/>
    <col min="9" max="9" width="13.453125" style="2" customWidth="1"/>
  </cols>
  <sheetData>
    <row r="1" spans="1:9" x14ac:dyDescent="0.35">
      <c r="A1" s="8" t="s">
        <v>0</v>
      </c>
      <c r="B1" s="4" t="s">
        <v>6</v>
      </c>
      <c r="C1" s="4" t="s">
        <v>36</v>
      </c>
      <c r="D1" s="4" t="s">
        <v>1</v>
      </c>
      <c r="E1" s="5" t="s">
        <v>35</v>
      </c>
      <c r="F1" s="4" t="s">
        <v>37</v>
      </c>
      <c r="G1" s="5" t="s">
        <v>40</v>
      </c>
      <c r="H1" s="5" t="s">
        <v>39</v>
      </c>
      <c r="I1" s="10" t="s">
        <v>3</v>
      </c>
    </row>
    <row r="2" spans="1:9" x14ac:dyDescent="0.35">
      <c r="A2" s="9" t="s">
        <v>2</v>
      </c>
      <c r="B2" s="6">
        <v>226</v>
      </c>
      <c r="C2" s="6">
        <f>Tabla1[[#This Row],[KM  X2]]/9.5</f>
        <v>23.789473684210527</v>
      </c>
      <c r="D2" s="13">
        <v>24.5</v>
      </c>
      <c r="E2" s="16">
        <f>C2*D2</f>
        <v>582.84210526315792</v>
      </c>
      <c r="F2" s="6">
        <v>5</v>
      </c>
      <c r="G2" s="7">
        <v>104.16</v>
      </c>
      <c r="H2" s="15">
        <f>F2*G2</f>
        <v>520.79999999999995</v>
      </c>
      <c r="I2" s="14">
        <f>E2+H2</f>
        <v>1103.6421052631579</v>
      </c>
    </row>
    <row r="3" spans="1:9" x14ac:dyDescent="0.35">
      <c r="A3" s="9" t="s">
        <v>5</v>
      </c>
      <c r="B3" s="6">
        <v>234</v>
      </c>
      <c r="C3" s="6">
        <f>Tabla1[[#This Row],[KM  X2]]/9.5</f>
        <v>24.631578947368421</v>
      </c>
      <c r="D3" s="13">
        <v>24.5</v>
      </c>
      <c r="E3" s="16">
        <f t="shared" ref="E3:E33" si="0">C3*D3</f>
        <v>603.47368421052636</v>
      </c>
      <c r="F3" s="6">
        <v>6</v>
      </c>
      <c r="G3" s="7">
        <v>104.16</v>
      </c>
      <c r="H3" s="15">
        <f t="shared" ref="H3:H33" si="1">F3*G3</f>
        <v>624.96</v>
      </c>
      <c r="I3" s="14">
        <f t="shared" ref="I3:I33" si="2">E3+H3</f>
        <v>1228.4336842105263</v>
      </c>
    </row>
    <row r="4" spans="1:9" x14ac:dyDescent="0.35">
      <c r="A4" s="9" t="s">
        <v>7</v>
      </c>
      <c r="B4" s="6">
        <v>216</v>
      </c>
      <c r="C4" s="6">
        <f>Tabla1[[#This Row],[KM  X2]]/9.5</f>
        <v>22.736842105263158</v>
      </c>
      <c r="D4" s="13">
        <v>24.5</v>
      </c>
      <c r="E4" s="16">
        <f t="shared" si="0"/>
        <v>557.0526315789474</v>
      </c>
      <c r="F4" s="6">
        <v>5</v>
      </c>
      <c r="G4" s="7">
        <v>104.16</v>
      </c>
      <c r="H4" s="15">
        <f t="shared" si="1"/>
        <v>520.79999999999995</v>
      </c>
      <c r="I4" s="14">
        <f t="shared" si="2"/>
        <v>1077.8526315789472</v>
      </c>
    </row>
    <row r="5" spans="1:9" x14ac:dyDescent="0.35">
      <c r="A5" s="9" t="s">
        <v>8</v>
      </c>
      <c r="B5" s="6">
        <v>17.2</v>
      </c>
      <c r="C5" s="6">
        <f>Tabla1[[#This Row],[KM  X2]]/9.5</f>
        <v>1.8105263157894735</v>
      </c>
      <c r="D5" s="13">
        <v>24.5</v>
      </c>
      <c r="E5" s="16">
        <f t="shared" si="0"/>
        <v>44.357894736842098</v>
      </c>
      <c r="F5" s="6">
        <v>2</v>
      </c>
      <c r="G5" s="7">
        <v>104.16</v>
      </c>
      <c r="H5" s="15">
        <f t="shared" si="1"/>
        <v>208.32</v>
      </c>
      <c r="I5" s="14">
        <f t="shared" si="2"/>
        <v>252.67789473684209</v>
      </c>
    </row>
    <row r="6" spans="1:9" x14ac:dyDescent="0.35">
      <c r="A6" s="9" t="s">
        <v>9</v>
      </c>
      <c r="B6" s="6">
        <v>90.6</v>
      </c>
      <c r="C6" s="6">
        <f>Tabla1[[#This Row],[KM  X2]]/9.5</f>
        <v>9.5368421052631565</v>
      </c>
      <c r="D6" s="13">
        <v>24.5</v>
      </c>
      <c r="E6" s="16">
        <f t="shared" si="0"/>
        <v>233.65263157894734</v>
      </c>
      <c r="F6" s="6">
        <v>3</v>
      </c>
      <c r="G6" s="7">
        <v>104.16</v>
      </c>
      <c r="H6" s="15">
        <f t="shared" si="1"/>
        <v>312.48</v>
      </c>
      <c r="I6" s="14">
        <f t="shared" si="2"/>
        <v>546.13263157894733</v>
      </c>
    </row>
    <row r="7" spans="1:9" x14ac:dyDescent="0.35">
      <c r="A7" s="9" t="s">
        <v>10</v>
      </c>
      <c r="B7" s="6">
        <v>80</v>
      </c>
      <c r="C7" s="6">
        <f>Tabla1[[#This Row],[KM  X2]]/9.5</f>
        <v>8.4210526315789469</v>
      </c>
      <c r="D7" s="13">
        <v>24.5</v>
      </c>
      <c r="E7" s="16">
        <f t="shared" si="0"/>
        <v>206.31578947368419</v>
      </c>
      <c r="F7" s="6">
        <v>3</v>
      </c>
      <c r="G7" s="7">
        <v>104.16</v>
      </c>
      <c r="H7" s="15">
        <f t="shared" si="1"/>
        <v>312.48</v>
      </c>
      <c r="I7" s="14">
        <f t="shared" si="2"/>
        <v>518.79578947368418</v>
      </c>
    </row>
    <row r="8" spans="1:9" x14ac:dyDescent="0.35">
      <c r="A8" s="9" t="s">
        <v>11</v>
      </c>
      <c r="B8" s="6">
        <v>90.6</v>
      </c>
      <c r="C8" s="6">
        <f>Tabla1[[#This Row],[KM  X2]]/9.5</f>
        <v>9.5368421052631565</v>
      </c>
      <c r="D8" s="13">
        <v>24.5</v>
      </c>
      <c r="E8" s="16">
        <f t="shared" si="0"/>
        <v>233.65263157894734</v>
      </c>
      <c r="F8" s="6">
        <v>3</v>
      </c>
      <c r="G8" s="7">
        <v>104.16</v>
      </c>
      <c r="H8" s="15">
        <f t="shared" si="1"/>
        <v>312.48</v>
      </c>
      <c r="I8" s="14">
        <f t="shared" si="2"/>
        <v>546.13263157894733</v>
      </c>
    </row>
    <row r="9" spans="1:9" x14ac:dyDescent="0.35">
      <c r="A9" s="9" t="s">
        <v>12</v>
      </c>
      <c r="B9" s="6">
        <v>32</v>
      </c>
      <c r="C9" s="6">
        <f>Tabla1[[#This Row],[KM  X2]]/9.5</f>
        <v>3.3684210526315788</v>
      </c>
      <c r="D9" s="13">
        <v>24.5</v>
      </c>
      <c r="E9" s="16">
        <f t="shared" si="0"/>
        <v>82.526315789473685</v>
      </c>
      <c r="F9" s="6">
        <v>2</v>
      </c>
      <c r="G9" s="7">
        <v>104.16</v>
      </c>
      <c r="H9" s="15">
        <f t="shared" si="1"/>
        <v>208.32</v>
      </c>
      <c r="I9" s="14">
        <f t="shared" si="2"/>
        <v>290.84631578947369</v>
      </c>
    </row>
    <row r="10" spans="1:9" x14ac:dyDescent="0.35">
      <c r="A10" s="9" t="s">
        <v>13</v>
      </c>
      <c r="B10" s="6">
        <v>21.6</v>
      </c>
      <c r="C10" s="6">
        <f>Tabla1[[#This Row],[KM  X2]]/9.5</f>
        <v>2.2736842105263158</v>
      </c>
      <c r="D10" s="13">
        <v>24.5</v>
      </c>
      <c r="E10" s="16">
        <f t="shared" si="0"/>
        <v>55.705263157894734</v>
      </c>
      <c r="F10" s="6">
        <v>2</v>
      </c>
      <c r="G10" s="7">
        <v>104.16</v>
      </c>
      <c r="H10" s="15">
        <f t="shared" si="1"/>
        <v>208.32</v>
      </c>
      <c r="I10" s="14">
        <f t="shared" si="2"/>
        <v>264.02526315789476</v>
      </c>
    </row>
    <row r="11" spans="1:9" x14ac:dyDescent="0.35">
      <c r="A11" s="9" t="s">
        <v>4</v>
      </c>
      <c r="B11" s="6">
        <v>400</v>
      </c>
      <c r="C11" s="6">
        <f>Tabla1[[#This Row],[KM  X2]]/9.5</f>
        <v>42.10526315789474</v>
      </c>
      <c r="D11" s="13">
        <v>24.5</v>
      </c>
      <c r="E11" s="16">
        <f t="shared" ref="E11" si="3">C11*D11</f>
        <v>1031.578947368421</v>
      </c>
      <c r="F11" s="6">
        <v>7</v>
      </c>
      <c r="G11" s="7">
        <v>104.16</v>
      </c>
      <c r="H11" s="15">
        <f t="shared" ref="H11" si="4">F11*G11</f>
        <v>729.12</v>
      </c>
      <c r="I11" s="14">
        <f t="shared" ref="I11" si="5">E11+H11</f>
        <v>1760.6989473684212</v>
      </c>
    </row>
    <row r="12" spans="1:9" x14ac:dyDescent="0.35">
      <c r="A12" s="9" t="s">
        <v>14</v>
      </c>
      <c r="B12" s="6">
        <v>402</v>
      </c>
      <c r="C12" s="6">
        <f>Tabla1[[#This Row],[KM  X2]]/9.5</f>
        <v>42.315789473684212</v>
      </c>
      <c r="D12" s="13">
        <v>24.5</v>
      </c>
      <c r="E12" s="16">
        <f t="shared" si="0"/>
        <v>1036.7368421052631</v>
      </c>
      <c r="F12" s="6">
        <v>8</v>
      </c>
      <c r="G12" s="7">
        <v>104.16</v>
      </c>
      <c r="H12" s="15">
        <f t="shared" si="1"/>
        <v>833.28</v>
      </c>
      <c r="I12" s="14">
        <f t="shared" si="2"/>
        <v>1870.0168421052631</v>
      </c>
    </row>
    <row r="13" spans="1:9" x14ac:dyDescent="0.35">
      <c r="A13" s="9" t="s">
        <v>15</v>
      </c>
      <c r="B13" s="6">
        <v>79.400000000000006</v>
      </c>
      <c r="C13" s="6">
        <f>Tabla1[[#This Row],[KM  X2]]/9.5</f>
        <v>8.3578947368421055</v>
      </c>
      <c r="D13" s="13">
        <v>24.5</v>
      </c>
      <c r="E13" s="16">
        <f t="shared" si="0"/>
        <v>204.7684210526316</v>
      </c>
      <c r="F13" s="6">
        <v>3</v>
      </c>
      <c r="G13" s="7">
        <v>104.16</v>
      </c>
      <c r="H13" s="15">
        <f t="shared" si="1"/>
        <v>312.48</v>
      </c>
      <c r="I13" s="14">
        <f t="shared" si="2"/>
        <v>517.24842105263156</v>
      </c>
    </row>
    <row r="14" spans="1:9" x14ac:dyDescent="0.35">
      <c r="A14" s="9" t="s">
        <v>16</v>
      </c>
      <c r="B14" s="6">
        <v>23.6</v>
      </c>
      <c r="C14" s="6">
        <f>Tabla1[[#This Row],[KM  X2]]/9.5</f>
        <v>2.4842105263157896</v>
      </c>
      <c r="D14" s="13">
        <v>24.5</v>
      </c>
      <c r="E14" s="16">
        <f t="shared" si="0"/>
        <v>60.863157894736844</v>
      </c>
      <c r="F14" s="6">
        <v>3</v>
      </c>
      <c r="G14" s="7">
        <v>104.16</v>
      </c>
      <c r="H14" s="15">
        <f t="shared" si="1"/>
        <v>312.48</v>
      </c>
      <c r="I14" s="14">
        <f t="shared" si="2"/>
        <v>373.34315789473686</v>
      </c>
    </row>
    <row r="15" spans="1:9" x14ac:dyDescent="0.35">
      <c r="A15" s="9" t="s">
        <v>17</v>
      </c>
      <c r="B15" s="6">
        <v>386</v>
      </c>
      <c r="C15" s="6">
        <f>Tabla1[[#This Row],[KM  X2]]/9.5</f>
        <v>40.631578947368418</v>
      </c>
      <c r="D15" s="13">
        <v>24.5</v>
      </c>
      <c r="E15" s="16">
        <f t="shared" si="0"/>
        <v>995.47368421052624</v>
      </c>
      <c r="F15" s="6">
        <v>7</v>
      </c>
      <c r="G15" s="7">
        <v>104.16</v>
      </c>
      <c r="H15" s="15">
        <f t="shared" si="1"/>
        <v>729.12</v>
      </c>
      <c r="I15" s="14">
        <f t="shared" si="2"/>
        <v>1724.5936842105261</v>
      </c>
    </row>
    <row r="16" spans="1:9" x14ac:dyDescent="0.35">
      <c r="A16" s="9" t="s">
        <v>18</v>
      </c>
      <c r="B16" s="6">
        <v>73.8</v>
      </c>
      <c r="C16" s="6">
        <f>Tabla1[[#This Row],[KM  X2]]/9.5</f>
        <v>7.7684210526315782</v>
      </c>
      <c r="D16" s="13">
        <v>24.5</v>
      </c>
      <c r="E16" s="16">
        <f t="shared" si="0"/>
        <v>190.32631578947365</v>
      </c>
      <c r="F16" s="6">
        <v>3</v>
      </c>
      <c r="G16" s="7">
        <v>104.16</v>
      </c>
      <c r="H16" s="15">
        <f t="shared" si="1"/>
        <v>312.48</v>
      </c>
      <c r="I16" s="14">
        <f t="shared" si="2"/>
        <v>502.80631578947367</v>
      </c>
    </row>
    <row r="17" spans="1:9" x14ac:dyDescent="0.35">
      <c r="A17" s="9" t="s">
        <v>19</v>
      </c>
      <c r="B17" s="6">
        <v>58.4</v>
      </c>
      <c r="C17" s="6">
        <f>Tabla1[[#This Row],[KM  X2]]/9.5</f>
        <v>6.1473684210526311</v>
      </c>
      <c r="D17" s="13">
        <v>24.5</v>
      </c>
      <c r="E17" s="16">
        <f t="shared" si="0"/>
        <v>150.61052631578946</v>
      </c>
      <c r="F17" s="6">
        <v>3</v>
      </c>
      <c r="G17" s="7">
        <v>104.16</v>
      </c>
      <c r="H17" s="15">
        <f t="shared" si="1"/>
        <v>312.48</v>
      </c>
      <c r="I17" s="14">
        <f t="shared" si="2"/>
        <v>463.09052631578948</v>
      </c>
    </row>
    <row r="18" spans="1:9" x14ac:dyDescent="0.35">
      <c r="A18" s="9" t="s">
        <v>20</v>
      </c>
      <c r="B18" s="6">
        <v>61.4</v>
      </c>
      <c r="C18" s="6">
        <f>Tabla1[[#This Row],[KM  X2]]/9.5</f>
        <v>6.4631578947368418</v>
      </c>
      <c r="D18" s="13">
        <v>24.5</v>
      </c>
      <c r="E18" s="16">
        <f t="shared" si="0"/>
        <v>158.34736842105264</v>
      </c>
      <c r="F18" s="6">
        <v>3</v>
      </c>
      <c r="G18" s="7">
        <v>104.16</v>
      </c>
      <c r="H18" s="15">
        <f t="shared" si="1"/>
        <v>312.48</v>
      </c>
      <c r="I18" s="14">
        <f t="shared" si="2"/>
        <v>470.82736842105265</v>
      </c>
    </row>
    <row r="19" spans="1:9" x14ac:dyDescent="0.35">
      <c r="A19" s="9" t="s">
        <v>21</v>
      </c>
      <c r="B19" s="6">
        <v>16.2</v>
      </c>
      <c r="C19" s="6">
        <f>Tabla1[[#This Row],[KM  X2]]/9.5</f>
        <v>1.7052631578947368</v>
      </c>
      <c r="D19" s="13">
        <v>24.5</v>
      </c>
      <c r="E19" s="16">
        <f t="shared" si="0"/>
        <v>41.778947368421051</v>
      </c>
      <c r="F19" s="6">
        <v>2</v>
      </c>
      <c r="G19" s="7">
        <v>104.16</v>
      </c>
      <c r="H19" s="15">
        <f t="shared" si="1"/>
        <v>208.32</v>
      </c>
      <c r="I19" s="14">
        <f t="shared" si="2"/>
        <v>250.09894736842105</v>
      </c>
    </row>
    <row r="20" spans="1:9" x14ac:dyDescent="0.35">
      <c r="A20" s="9" t="s">
        <v>22</v>
      </c>
      <c r="B20" s="6">
        <v>12</v>
      </c>
      <c r="C20" s="6">
        <f>Tabla1[[#This Row],[KM  X2]]/9.5</f>
        <v>1.263157894736842</v>
      </c>
      <c r="D20" s="13">
        <v>24.5</v>
      </c>
      <c r="E20" s="16">
        <f t="shared" si="0"/>
        <v>30.94736842105263</v>
      </c>
      <c r="F20" s="6">
        <v>2</v>
      </c>
      <c r="G20" s="7">
        <v>104.16</v>
      </c>
      <c r="H20" s="15">
        <f t="shared" si="1"/>
        <v>208.32</v>
      </c>
      <c r="I20" s="14">
        <f t="shared" si="2"/>
        <v>239.26736842105262</v>
      </c>
    </row>
    <row r="21" spans="1:9" x14ac:dyDescent="0.35">
      <c r="A21" s="9" t="s">
        <v>23</v>
      </c>
      <c r="B21" s="6">
        <v>59.8</v>
      </c>
      <c r="C21" s="6">
        <f>Tabla1[[#This Row],[KM  X2]]/9.5</f>
        <v>6.2947368421052632</v>
      </c>
      <c r="D21" s="13">
        <v>24.5</v>
      </c>
      <c r="E21" s="16">
        <f t="shared" si="0"/>
        <v>154.22105263157894</v>
      </c>
      <c r="F21" s="6">
        <v>3</v>
      </c>
      <c r="G21" s="7">
        <v>104.16</v>
      </c>
      <c r="H21" s="15">
        <f t="shared" si="1"/>
        <v>312.48</v>
      </c>
      <c r="I21" s="14">
        <f t="shared" si="2"/>
        <v>466.70105263157893</v>
      </c>
    </row>
    <row r="22" spans="1:9" x14ac:dyDescent="0.35">
      <c r="A22" s="9" t="s">
        <v>24</v>
      </c>
      <c r="B22" s="6">
        <v>125.4</v>
      </c>
      <c r="C22" s="6">
        <f>Tabla1[[#This Row],[KM  X2]]/9.5</f>
        <v>13.200000000000001</v>
      </c>
      <c r="D22" s="13">
        <v>24.5</v>
      </c>
      <c r="E22" s="16">
        <f t="shared" si="0"/>
        <v>323.40000000000003</v>
      </c>
      <c r="F22" s="6">
        <v>4</v>
      </c>
      <c r="G22" s="7">
        <v>104.16</v>
      </c>
      <c r="H22" s="15">
        <f t="shared" si="1"/>
        <v>416.64</v>
      </c>
      <c r="I22" s="14">
        <f t="shared" si="2"/>
        <v>740.04</v>
      </c>
    </row>
    <row r="23" spans="1:9" x14ac:dyDescent="0.35">
      <c r="A23" s="9" t="s">
        <v>25</v>
      </c>
      <c r="B23" s="6">
        <v>41.6</v>
      </c>
      <c r="C23" s="6">
        <f>Tabla1[[#This Row],[KM  X2]]/9.5</f>
        <v>4.3789473684210529</v>
      </c>
      <c r="D23" s="13">
        <v>24.5</v>
      </c>
      <c r="E23" s="16">
        <f t="shared" si="0"/>
        <v>107.2842105263158</v>
      </c>
      <c r="F23" s="6">
        <v>3</v>
      </c>
      <c r="G23" s="7">
        <v>104.16</v>
      </c>
      <c r="H23" s="15">
        <f t="shared" si="1"/>
        <v>312.48</v>
      </c>
      <c r="I23" s="14">
        <f t="shared" si="2"/>
        <v>419.76421052631582</v>
      </c>
    </row>
    <row r="24" spans="1:9" x14ac:dyDescent="0.35">
      <c r="A24" s="9" t="s">
        <v>26</v>
      </c>
      <c r="B24" s="6">
        <v>157</v>
      </c>
      <c r="C24" s="6">
        <f>Tabla1[[#This Row],[KM  X2]]/9.5</f>
        <v>16.526315789473685</v>
      </c>
      <c r="D24" s="13">
        <v>24.5</v>
      </c>
      <c r="E24" s="16">
        <f t="shared" si="0"/>
        <v>404.89473684210526</v>
      </c>
      <c r="F24" s="6">
        <v>4</v>
      </c>
      <c r="G24" s="7">
        <v>104.16</v>
      </c>
      <c r="H24" s="15">
        <f t="shared" si="1"/>
        <v>416.64</v>
      </c>
      <c r="I24" s="14">
        <f t="shared" si="2"/>
        <v>821.5347368421053</v>
      </c>
    </row>
    <row r="25" spans="1:9" x14ac:dyDescent="0.35">
      <c r="A25" s="9" t="s">
        <v>27</v>
      </c>
      <c r="B25" s="6">
        <v>138.6</v>
      </c>
      <c r="C25" s="6">
        <f>Tabla1[[#This Row],[KM  X2]]/9.5</f>
        <v>14.589473684210526</v>
      </c>
      <c r="D25" s="13">
        <v>24.5</v>
      </c>
      <c r="E25" s="16">
        <f t="shared" si="0"/>
        <v>357.44210526315788</v>
      </c>
      <c r="F25" s="6">
        <v>4</v>
      </c>
      <c r="G25" s="7">
        <v>104.16</v>
      </c>
      <c r="H25" s="15">
        <f t="shared" si="1"/>
        <v>416.64</v>
      </c>
      <c r="I25" s="14">
        <f t="shared" si="2"/>
        <v>774.08210526315793</v>
      </c>
    </row>
    <row r="26" spans="1:9" x14ac:dyDescent="0.35">
      <c r="A26" s="11" t="s">
        <v>28</v>
      </c>
      <c r="B26" s="12">
        <v>61</v>
      </c>
      <c r="C26" s="6">
        <f>Tabla1[[#This Row],[KM  X2]]/9.5</f>
        <v>6.4210526315789478</v>
      </c>
      <c r="D26" s="13">
        <v>24.5</v>
      </c>
      <c r="E26" s="16">
        <f t="shared" si="0"/>
        <v>157.31578947368422</v>
      </c>
      <c r="F26" s="12">
        <v>3</v>
      </c>
      <c r="G26" s="7">
        <v>104.16</v>
      </c>
      <c r="H26" s="15">
        <f t="shared" si="1"/>
        <v>312.48</v>
      </c>
      <c r="I26" s="14">
        <f t="shared" si="2"/>
        <v>469.79578947368424</v>
      </c>
    </row>
    <row r="27" spans="1:9" x14ac:dyDescent="0.35">
      <c r="A27" s="9" t="s">
        <v>29</v>
      </c>
      <c r="B27" s="6">
        <v>5</v>
      </c>
      <c r="C27" s="6">
        <f>Tabla1[[#This Row],[KM  X2]]/9.5</f>
        <v>0.52631578947368418</v>
      </c>
      <c r="D27" s="13">
        <v>24.5</v>
      </c>
      <c r="E27" s="16">
        <f t="shared" si="0"/>
        <v>12.894736842105262</v>
      </c>
      <c r="F27" s="6">
        <v>1</v>
      </c>
      <c r="G27" s="7">
        <v>104.16</v>
      </c>
      <c r="H27" s="15">
        <f t="shared" si="1"/>
        <v>104.16</v>
      </c>
      <c r="I27" s="14">
        <f t="shared" si="2"/>
        <v>117.05473684210526</v>
      </c>
    </row>
    <row r="28" spans="1:9" x14ac:dyDescent="0.35">
      <c r="A28" s="9" t="s">
        <v>30</v>
      </c>
      <c r="B28" s="6">
        <v>28.2</v>
      </c>
      <c r="C28" s="6">
        <f>Tabla1[[#This Row],[KM  X2]]/9.5</f>
        <v>2.9684210526315788</v>
      </c>
      <c r="D28" s="13">
        <v>24.5</v>
      </c>
      <c r="E28" s="16">
        <f t="shared" si="0"/>
        <v>72.726315789473688</v>
      </c>
      <c r="F28" s="6">
        <v>3</v>
      </c>
      <c r="G28" s="7">
        <v>104.16</v>
      </c>
      <c r="H28" s="15">
        <f t="shared" si="1"/>
        <v>312.48</v>
      </c>
      <c r="I28" s="14">
        <f t="shared" si="2"/>
        <v>385.20631578947371</v>
      </c>
    </row>
    <row r="29" spans="1:9" x14ac:dyDescent="0.35">
      <c r="A29" s="9" t="s">
        <v>31</v>
      </c>
      <c r="B29" s="6">
        <v>61.6</v>
      </c>
      <c r="C29" s="6">
        <f>Tabla1[[#This Row],[KM  X2]]/9.5</f>
        <v>6.4842105263157892</v>
      </c>
      <c r="D29" s="13">
        <v>24.5</v>
      </c>
      <c r="E29" s="16">
        <f t="shared" si="0"/>
        <v>158.86315789473684</v>
      </c>
      <c r="F29" s="6">
        <v>3</v>
      </c>
      <c r="G29" s="7">
        <v>104.16</v>
      </c>
      <c r="H29" s="15">
        <f t="shared" si="1"/>
        <v>312.48</v>
      </c>
      <c r="I29" s="14">
        <f t="shared" si="2"/>
        <v>471.34315789473686</v>
      </c>
    </row>
    <row r="30" spans="1:9" x14ac:dyDescent="0.35">
      <c r="A30" s="17" t="s">
        <v>38</v>
      </c>
      <c r="B30" s="6">
        <v>14.6</v>
      </c>
      <c r="C30" s="6">
        <f>Tabla1[[#This Row],[KM  X2]]/9.5</f>
        <v>1.5368421052631578</v>
      </c>
      <c r="D30" s="13">
        <v>24.5</v>
      </c>
      <c r="E30" s="16">
        <f t="shared" si="0"/>
        <v>37.652631578947364</v>
      </c>
      <c r="F30" s="6">
        <v>2</v>
      </c>
      <c r="G30" s="7">
        <v>104.16</v>
      </c>
      <c r="H30" s="15">
        <f t="shared" si="1"/>
        <v>208.32</v>
      </c>
      <c r="I30" s="14">
        <f t="shared" si="2"/>
        <v>245.97263157894736</v>
      </c>
    </row>
    <row r="31" spans="1:9" x14ac:dyDescent="0.35">
      <c r="A31" s="9" t="s">
        <v>32</v>
      </c>
      <c r="B31" s="6">
        <v>392</v>
      </c>
      <c r="C31" s="6">
        <f>Tabla1[[#This Row],[KM  X2]]/9.5</f>
        <v>41.263157894736842</v>
      </c>
      <c r="D31" s="13">
        <v>24.5</v>
      </c>
      <c r="E31" s="16">
        <f t="shared" si="0"/>
        <v>1010.9473684210526</v>
      </c>
      <c r="F31" s="6">
        <v>8</v>
      </c>
      <c r="G31" s="7">
        <v>104.16</v>
      </c>
      <c r="H31" s="15">
        <f t="shared" si="1"/>
        <v>833.28</v>
      </c>
      <c r="I31" s="14">
        <f t="shared" si="2"/>
        <v>1844.2273684210527</v>
      </c>
    </row>
    <row r="32" spans="1:9" x14ac:dyDescent="0.35">
      <c r="A32" s="9" t="s">
        <v>33</v>
      </c>
      <c r="B32" s="6">
        <v>26</v>
      </c>
      <c r="C32" s="6">
        <f>Tabla1[[#This Row],[KM  X2]]/9.5</f>
        <v>2.736842105263158</v>
      </c>
      <c r="D32" s="13">
        <v>24.5</v>
      </c>
      <c r="E32" s="16">
        <f t="shared" si="0"/>
        <v>67.05263157894737</v>
      </c>
      <c r="F32" s="6">
        <v>2</v>
      </c>
      <c r="G32" s="7">
        <v>104.16</v>
      </c>
      <c r="H32" s="15">
        <f t="shared" si="1"/>
        <v>208.32</v>
      </c>
      <c r="I32" s="14">
        <f t="shared" si="2"/>
        <v>275.37263157894733</v>
      </c>
    </row>
    <row r="33" spans="1:9" x14ac:dyDescent="0.35">
      <c r="A33" s="9" t="s">
        <v>34</v>
      </c>
      <c r="B33" s="6">
        <v>29.2</v>
      </c>
      <c r="C33" s="6">
        <f>Tabla1[[#This Row],[KM  X2]]/9.5</f>
        <v>3.0736842105263156</v>
      </c>
      <c r="D33" s="13">
        <v>24.5</v>
      </c>
      <c r="E33" s="16">
        <f t="shared" si="0"/>
        <v>75.305263157894728</v>
      </c>
      <c r="F33" s="6">
        <v>2</v>
      </c>
      <c r="G33" s="7">
        <v>104.16</v>
      </c>
      <c r="H33" s="15">
        <f t="shared" si="1"/>
        <v>208.32</v>
      </c>
      <c r="I33" s="14">
        <f t="shared" si="2"/>
        <v>283.62526315789472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E172-0268-4FFD-A6C7-ACD82FDE298F}">
  <sheetPr>
    <pageSetUpPr fitToPage="1"/>
  </sheetPr>
  <dimension ref="A1:P34"/>
  <sheetViews>
    <sheetView tabSelected="1" workbookViewId="0">
      <selection activeCell="Q18" sqref="Q18"/>
    </sheetView>
  </sheetViews>
  <sheetFormatPr baseColWidth="10" defaultRowHeight="14.5" x14ac:dyDescent="0.35"/>
  <cols>
    <col min="1" max="1" width="21.6328125" customWidth="1"/>
    <col min="2" max="2" width="14" style="3" customWidth="1"/>
    <col min="3" max="3" width="9.26953125" style="3" customWidth="1"/>
    <col min="4" max="4" width="11.08984375" customWidth="1"/>
    <col min="5" max="5" width="11.90625" customWidth="1"/>
    <col min="6" max="6" width="13.7265625" customWidth="1"/>
    <col min="7" max="7" width="11" style="25" customWidth="1"/>
    <col min="8" max="8" width="12.08984375" customWidth="1"/>
    <col min="9" max="9" width="15" customWidth="1"/>
    <col min="10" max="10" width="12.6328125" style="25" customWidth="1"/>
    <col min="11" max="11" width="15.6328125" style="2" customWidth="1"/>
    <col min="12" max="12" width="13.81640625" style="2" customWidth="1"/>
    <col min="13" max="13" width="12.7265625" customWidth="1"/>
    <col min="14" max="14" width="18.36328125" customWidth="1"/>
    <col min="15" max="15" width="11.453125" customWidth="1"/>
    <col min="16" max="16" width="11.08984375" bestFit="1" customWidth="1"/>
  </cols>
  <sheetData>
    <row r="1" spans="1:16" ht="29" x14ac:dyDescent="0.35">
      <c r="A1" s="19" t="s">
        <v>0</v>
      </c>
      <c r="B1" s="32" t="s">
        <v>35</v>
      </c>
      <c r="C1" s="33" t="s">
        <v>47</v>
      </c>
      <c r="D1" s="32" t="s">
        <v>41</v>
      </c>
      <c r="E1" s="34" t="s">
        <v>42</v>
      </c>
      <c r="F1" s="39" t="s">
        <v>44</v>
      </c>
      <c r="G1" s="40" t="s">
        <v>45</v>
      </c>
      <c r="H1" s="34" t="s">
        <v>42</v>
      </c>
      <c r="I1" s="39" t="s">
        <v>49</v>
      </c>
      <c r="J1" s="41" t="s">
        <v>42</v>
      </c>
      <c r="K1" s="32" t="s">
        <v>43</v>
      </c>
      <c r="L1" s="33" t="s">
        <v>46</v>
      </c>
      <c r="M1" s="34" t="s">
        <v>42</v>
      </c>
      <c r="N1" s="34" t="s">
        <v>48</v>
      </c>
      <c r="O1" s="39" t="s">
        <v>50</v>
      </c>
      <c r="P1" s="46" t="s">
        <v>51</v>
      </c>
    </row>
    <row r="2" spans="1:16" x14ac:dyDescent="0.35">
      <c r="A2" s="20" t="s">
        <v>2</v>
      </c>
      <c r="B2" s="35">
        <v>582.84</v>
      </c>
      <c r="C2" s="36">
        <v>5</v>
      </c>
      <c r="D2" s="37">
        <v>520.79999999999995</v>
      </c>
      <c r="E2" s="38">
        <f>B2+D2</f>
        <v>1103.6399999999999</v>
      </c>
      <c r="F2" s="7">
        <v>104.16</v>
      </c>
      <c r="G2" s="42"/>
      <c r="H2" s="18">
        <f>F2*G2</f>
        <v>0</v>
      </c>
      <c r="I2" s="7">
        <v>124.18</v>
      </c>
      <c r="J2" s="43">
        <f>G2*I2</f>
        <v>0</v>
      </c>
      <c r="K2" s="7"/>
      <c r="L2" s="7">
        <v>39.35</v>
      </c>
      <c r="M2" s="44">
        <f>C2*L2</f>
        <v>196.75</v>
      </c>
      <c r="N2" s="45">
        <f>E2+H2+J2+K2+M2</f>
        <v>1300.3899999999999</v>
      </c>
      <c r="O2" s="24">
        <f>N2*1.4</f>
        <v>1820.5459999999996</v>
      </c>
      <c r="P2" s="24">
        <f>O2*1.03</f>
        <v>1875.1623799999995</v>
      </c>
    </row>
    <row r="3" spans="1:16" x14ac:dyDescent="0.35">
      <c r="A3" s="21" t="s">
        <v>53</v>
      </c>
      <c r="B3" s="26">
        <v>603.47</v>
      </c>
      <c r="C3" s="29">
        <v>6</v>
      </c>
      <c r="D3" s="28">
        <v>624.96</v>
      </c>
      <c r="E3" s="31">
        <f t="shared" ref="E3:E33" si="0">B3+D3</f>
        <v>1228.43</v>
      </c>
      <c r="F3" s="7">
        <v>104.16</v>
      </c>
      <c r="G3" s="42"/>
      <c r="H3" s="18">
        <f t="shared" ref="H3:H33" si="1">F3*G3</f>
        <v>0</v>
      </c>
      <c r="I3" s="7">
        <v>124.18</v>
      </c>
      <c r="J3" s="43">
        <f t="shared" ref="J3:J33" si="2">G3*I3</f>
        <v>0</v>
      </c>
      <c r="K3" s="7"/>
      <c r="L3" s="7">
        <v>39.35</v>
      </c>
      <c r="M3" s="44">
        <f t="shared" ref="M3:M33" si="3">C3*L3</f>
        <v>236.10000000000002</v>
      </c>
      <c r="N3" s="45"/>
      <c r="O3" s="24">
        <f t="shared" ref="O3:O33" si="4">N3*1.4</f>
        <v>0</v>
      </c>
      <c r="P3" s="24">
        <f t="shared" ref="P3:P33" si="5">O3*1.03</f>
        <v>0</v>
      </c>
    </row>
    <row r="4" spans="1:16" x14ac:dyDescent="0.35">
      <c r="A4" s="20" t="s">
        <v>7</v>
      </c>
      <c r="B4" s="26">
        <v>557.04999999999995</v>
      </c>
      <c r="C4" s="27">
        <v>5</v>
      </c>
      <c r="D4" s="28">
        <v>520.79999999999995</v>
      </c>
      <c r="E4" s="31">
        <f t="shared" si="0"/>
        <v>1077.8499999999999</v>
      </c>
      <c r="F4" s="7">
        <v>104.16</v>
      </c>
      <c r="G4" s="42"/>
      <c r="H4" s="18">
        <f t="shared" si="1"/>
        <v>0</v>
      </c>
      <c r="I4" s="7">
        <v>124.18</v>
      </c>
      <c r="J4" s="43">
        <f t="shared" si="2"/>
        <v>0</v>
      </c>
      <c r="K4" s="7"/>
      <c r="L4" s="7">
        <v>39.35</v>
      </c>
      <c r="M4" s="44">
        <f t="shared" si="3"/>
        <v>196.75</v>
      </c>
      <c r="N4" s="45"/>
      <c r="O4" s="24">
        <f t="shared" si="4"/>
        <v>0</v>
      </c>
      <c r="P4" s="24">
        <f t="shared" si="5"/>
        <v>0</v>
      </c>
    </row>
    <row r="5" spans="1:16" x14ac:dyDescent="0.35">
      <c r="A5" s="21" t="s">
        <v>8</v>
      </c>
      <c r="B5" s="26">
        <v>44.36</v>
      </c>
      <c r="C5" s="29">
        <v>2</v>
      </c>
      <c r="D5" s="28">
        <v>208.32</v>
      </c>
      <c r="E5" s="31">
        <f t="shared" si="0"/>
        <v>252.68</v>
      </c>
      <c r="F5" s="7">
        <v>104.16</v>
      </c>
      <c r="G5" s="42"/>
      <c r="H5" s="18">
        <f t="shared" si="1"/>
        <v>0</v>
      </c>
      <c r="I5" s="7">
        <v>124.18</v>
      </c>
      <c r="J5" s="43">
        <f t="shared" si="2"/>
        <v>0</v>
      </c>
      <c r="K5" s="7"/>
      <c r="L5" s="7">
        <v>39.35</v>
      </c>
      <c r="M5" s="44">
        <f t="shared" si="3"/>
        <v>78.7</v>
      </c>
      <c r="N5" s="45"/>
      <c r="O5" s="24">
        <f t="shared" si="4"/>
        <v>0</v>
      </c>
      <c r="P5" s="24">
        <f t="shared" si="5"/>
        <v>0</v>
      </c>
    </row>
    <row r="6" spans="1:16" x14ac:dyDescent="0.35">
      <c r="A6" s="20" t="s">
        <v>9</v>
      </c>
      <c r="B6" s="26">
        <v>233.65</v>
      </c>
      <c r="C6" s="27">
        <v>3</v>
      </c>
      <c r="D6" s="28">
        <v>312.48</v>
      </c>
      <c r="E6" s="31">
        <f t="shared" si="0"/>
        <v>546.13</v>
      </c>
      <c r="F6" s="7">
        <v>104.16</v>
      </c>
      <c r="G6" s="42"/>
      <c r="H6" s="18">
        <f t="shared" si="1"/>
        <v>0</v>
      </c>
      <c r="I6" s="7">
        <v>124.18</v>
      </c>
      <c r="J6" s="43">
        <f t="shared" si="2"/>
        <v>0</v>
      </c>
      <c r="K6" s="7"/>
      <c r="L6" s="7">
        <v>39.35</v>
      </c>
      <c r="M6" s="44">
        <f t="shared" si="3"/>
        <v>118.05000000000001</v>
      </c>
      <c r="N6" s="45"/>
      <c r="O6" s="24">
        <f t="shared" si="4"/>
        <v>0</v>
      </c>
      <c r="P6" s="24">
        <f t="shared" si="5"/>
        <v>0</v>
      </c>
    </row>
    <row r="7" spans="1:16" x14ac:dyDescent="0.35">
      <c r="A7" s="21" t="s">
        <v>10</v>
      </c>
      <c r="B7" s="26">
        <v>206.32</v>
      </c>
      <c r="C7" s="29">
        <v>3</v>
      </c>
      <c r="D7" s="28">
        <v>312.48</v>
      </c>
      <c r="E7" s="31">
        <f t="shared" si="0"/>
        <v>518.79999999999995</v>
      </c>
      <c r="F7" s="7">
        <v>104.16</v>
      </c>
      <c r="G7" s="42">
        <v>10</v>
      </c>
      <c r="H7" s="18">
        <f t="shared" si="1"/>
        <v>1041.5999999999999</v>
      </c>
      <c r="I7" s="7">
        <v>124.18</v>
      </c>
      <c r="J7" s="43">
        <f t="shared" si="2"/>
        <v>1241.8000000000002</v>
      </c>
      <c r="K7" s="7">
        <v>1000</v>
      </c>
      <c r="L7" s="7">
        <v>39.35</v>
      </c>
      <c r="M7" s="44">
        <f t="shared" si="3"/>
        <v>118.05000000000001</v>
      </c>
      <c r="N7" s="45">
        <f>E7+H7+J7+K7+M7</f>
        <v>3920.25</v>
      </c>
      <c r="O7" s="24">
        <f t="shared" si="4"/>
        <v>5488.3499999999995</v>
      </c>
      <c r="P7" s="24">
        <f t="shared" si="5"/>
        <v>5653.0004999999992</v>
      </c>
    </row>
    <row r="8" spans="1:16" x14ac:dyDescent="0.35">
      <c r="A8" s="20" t="s">
        <v>11</v>
      </c>
      <c r="B8" s="26">
        <v>233.65</v>
      </c>
      <c r="C8" s="27">
        <v>3</v>
      </c>
      <c r="D8" s="28">
        <v>312.48</v>
      </c>
      <c r="E8" s="31">
        <f t="shared" si="0"/>
        <v>546.13</v>
      </c>
      <c r="F8" s="7">
        <v>104.16</v>
      </c>
      <c r="G8" s="42"/>
      <c r="H8" s="18">
        <f t="shared" si="1"/>
        <v>0</v>
      </c>
      <c r="I8" s="7">
        <v>124.18</v>
      </c>
      <c r="J8" s="43">
        <f t="shared" si="2"/>
        <v>0</v>
      </c>
      <c r="K8" s="7"/>
      <c r="L8" s="7">
        <v>39.35</v>
      </c>
      <c r="M8" s="44">
        <f t="shared" si="3"/>
        <v>118.05000000000001</v>
      </c>
      <c r="N8" s="45"/>
      <c r="O8" s="24">
        <f t="shared" si="4"/>
        <v>0</v>
      </c>
      <c r="P8" s="24">
        <f t="shared" si="5"/>
        <v>0</v>
      </c>
    </row>
    <row r="9" spans="1:16" x14ac:dyDescent="0.35">
      <c r="A9" s="21" t="s">
        <v>12</v>
      </c>
      <c r="B9" s="26">
        <v>83.53</v>
      </c>
      <c r="C9" s="29">
        <v>2</v>
      </c>
      <c r="D9" s="28">
        <v>208.32</v>
      </c>
      <c r="E9" s="31">
        <f t="shared" si="0"/>
        <v>291.85000000000002</v>
      </c>
      <c r="F9" s="7">
        <v>104.16</v>
      </c>
      <c r="G9" s="42"/>
      <c r="H9" s="18">
        <f t="shared" si="1"/>
        <v>0</v>
      </c>
      <c r="I9" s="7">
        <v>124.18</v>
      </c>
      <c r="J9" s="43">
        <f t="shared" si="2"/>
        <v>0</v>
      </c>
      <c r="K9" s="7"/>
      <c r="L9" s="7">
        <v>39.35</v>
      </c>
      <c r="M9" s="44">
        <f t="shared" si="3"/>
        <v>78.7</v>
      </c>
      <c r="N9" s="45"/>
      <c r="O9" s="24">
        <f t="shared" si="4"/>
        <v>0</v>
      </c>
      <c r="P9" s="24">
        <f t="shared" si="5"/>
        <v>0</v>
      </c>
    </row>
    <row r="10" spans="1:16" x14ac:dyDescent="0.35">
      <c r="A10" s="20" t="s">
        <v>13</v>
      </c>
      <c r="B10" s="26">
        <v>55.71</v>
      </c>
      <c r="C10" s="27">
        <v>2</v>
      </c>
      <c r="D10" s="28">
        <v>208.32</v>
      </c>
      <c r="E10" s="31">
        <f t="shared" si="0"/>
        <v>264.02999999999997</v>
      </c>
      <c r="F10" s="7">
        <v>104.16</v>
      </c>
      <c r="G10" s="42"/>
      <c r="H10" s="18">
        <f t="shared" si="1"/>
        <v>0</v>
      </c>
      <c r="I10" s="7">
        <v>124.18</v>
      </c>
      <c r="J10" s="43">
        <f t="shared" si="2"/>
        <v>0</v>
      </c>
      <c r="K10" s="7"/>
      <c r="L10" s="7">
        <v>39.35</v>
      </c>
      <c r="M10" s="44">
        <f t="shared" si="3"/>
        <v>78.7</v>
      </c>
      <c r="N10" s="45"/>
      <c r="O10" s="24">
        <f t="shared" si="4"/>
        <v>0</v>
      </c>
      <c r="P10" s="24">
        <f t="shared" si="5"/>
        <v>0</v>
      </c>
    </row>
    <row r="11" spans="1:16" x14ac:dyDescent="0.35">
      <c r="A11" s="21" t="s">
        <v>52</v>
      </c>
      <c r="B11" s="26">
        <v>1031.45</v>
      </c>
      <c r="C11" s="29">
        <v>7</v>
      </c>
      <c r="D11" s="28">
        <v>729.12</v>
      </c>
      <c r="E11" s="31">
        <f t="shared" si="0"/>
        <v>1760.5700000000002</v>
      </c>
      <c r="F11" s="7">
        <v>104.16</v>
      </c>
      <c r="G11" s="42"/>
      <c r="H11" s="18">
        <f t="shared" si="1"/>
        <v>0</v>
      </c>
      <c r="I11" s="7">
        <v>124.18</v>
      </c>
      <c r="J11" s="43">
        <f t="shared" si="2"/>
        <v>0</v>
      </c>
      <c r="K11" s="7"/>
      <c r="L11" s="7">
        <v>39.35</v>
      </c>
      <c r="M11" s="44">
        <f>C11*L11</f>
        <v>275.45</v>
      </c>
      <c r="N11" s="45"/>
      <c r="O11" s="24">
        <f t="shared" si="4"/>
        <v>0</v>
      </c>
      <c r="P11" s="24">
        <f t="shared" si="5"/>
        <v>0</v>
      </c>
    </row>
    <row r="12" spans="1:16" x14ac:dyDescent="0.35">
      <c r="A12" s="20" t="s">
        <v>14</v>
      </c>
      <c r="B12" s="26">
        <v>1036.74</v>
      </c>
      <c r="C12" s="27">
        <v>8</v>
      </c>
      <c r="D12" s="28">
        <v>833.28</v>
      </c>
      <c r="E12" s="31">
        <f t="shared" si="0"/>
        <v>1870.02</v>
      </c>
      <c r="F12" s="7">
        <v>104.16</v>
      </c>
      <c r="G12" s="42"/>
      <c r="H12" s="18">
        <f t="shared" si="1"/>
        <v>0</v>
      </c>
      <c r="I12" s="7">
        <v>124.18</v>
      </c>
      <c r="J12" s="43">
        <f t="shared" si="2"/>
        <v>0</v>
      </c>
      <c r="K12" s="7"/>
      <c r="L12" s="7">
        <v>39.35</v>
      </c>
      <c r="M12" s="44">
        <f t="shared" si="3"/>
        <v>314.8</v>
      </c>
      <c r="N12" s="45"/>
      <c r="O12" s="24">
        <f t="shared" si="4"/>
        <v>0</v>
      </c>
      <c r="P12" s="24">
        <f t="shared" si="5"/>
        <v>0</v>
      </c>
    </row>
    <row r="13" spans="1:16" x14ac:dyDescent="0.35">
      <c r="A13" s="21" t="s">
        <v>15</v>
      </c>
      <c r="B13" s="26">
        <v>204.77</v>
      </c>
      <c r="C13" s="29">
        <v>3</v>
      </c>
      <c r="D13" s="28">
        <v>312.48</v>
      </c>
      <c r="E13" s="31">
        <f t="shared" si="0"/>
        <v>517.25</v>
      </c>
      <c r="F13" s="7">
        <v>104.16</v>
      </c>
      <c r="G13" s="42"/>
      <c r="H13" s="18">
        <f t="shared" si="1"/>
        <v>0</v>
      </c>
      <c r="I13" s="7">
        <v>124.18</v>
      </c>
      <c r="J13" s="43">
        <f t="shared" si="2"/>
        <v>0</v>
      </c>
      <c r="K13" s="7"/>
      <c r="L13" s="7">
        <v>39.35</v>
      </c>
      <c r="M13" s="44">
        <f t="shared" si="3"/>
        <v>118.05000000000001</v>
      </c>
      <c r="N13" s="45"/>
      <c r="O13" s="24">
        <f t="shared" si="4"/>
        <v>0</v>
      </c>
      <c r="P13" s="24">
        <f t="shared" si="5"/>
        <v>0</v>
      </c>
    </row>
    <row r="14" spans="1:16" x14ac:dyDescent="0.35">
      <c r="A14" s="20" t="s">
        <v>16</v>
      </c>
      <c r="B14" s="26">
        <v>60.86</v>
      </c>
      <c r="C14" s="27">
        <v>3</v>
      </c>
      <c r="D14" s="28">
        <v>312.48</v>
      </c>
      <c r="E14" s="31">
        <f t="shared" si="0"/>
        <v>373.34000000000003</v>
      </c>
      <c r="F14" s="7">
        <v>104.16</v>
      </c>
      <c r="G14" s="42"/>
      <c r="H14" s="18">
        <f t="shared" si="1"/>
        <v>0</v>
      </c>
      <c r="I14" s="7">
        <v>124.18</v>
      </c>
      <c r="J14" s="43">
        <f t="shared" si="2"/>
        <v>0</v>
      </c>
      <c r="K14" s="7"/>
      <c r="L14" s="7">
        <v>39.35</v>
      </c>
      <c r="M14" s="44">
        <f t="shared" si="3"/>
        <v>118.05000000000001</v>
      </c>
      <c r="N14" s="45"/>
      <c r="O14" s="24">
        <f t="shared" si="4"/>
        <v>0</v>
      </c>
      <c r="P14" s="24">
        <f t="shared" si="5"/>
        <v>0</v>
      </c>
    </row>
    <row r="15" spans="1:16" x14ac:dyDescent="0.35">
      <c r="A15" s="21" t="s">
        <v>17</v>
      </c>
      <c r="B15" s="26">
        <v>995.47</v>
      </c>
      <c r="C15" s="29">
        <v>7</v>
      </c>
      <c r="D15" s="28">
        <v>729.12</v>
      </c>
      <c r="E15" s="31">
        <f t="shared" si="0"/>
        <v>1724.5900000000001</v>
      </c>
      <c r="F15" s="7">
        <v>104.16</v>
      </c>
      <c r="G15" s="42"/>
      <c r="H15" s="18">
        <f t="shared" si="1"/>
        <v>0</v>
      </c>
      <c r="I15" s="7">
        <v>124.18</v>
      </c>
      <c r="J15" s="43">
        <f t="shared" si="2"/>
        <v>0</v>
      </c>
      <c r="K15" s="7"/>
      <c r="L15" s="7">
        <v>39.35</v>
      </c>
      <c r="M15" s="44">
        <f t="shared" si="3"/>
        <v>275.45</v>
      </c>
      <c r="N15" s="45"/>
      <c r="O15" s="24">
        <f t="shared" si="4"/>
        <v>0</v>
      </c>
      <c r="P15" s="24">
        <f t="shared" si="5"/>
        <v>0</v>
      </c>
    </row>
    <row r="16" spans="1:16" x14ac:dyDescent="0.35">
      <c r="A16" s="20" t="s">
        <v>18</v>
      </c>
      <c r="B16" s="26">
        <v>190.33</v>
      </c>
      <c r="C16" s="27">
        <v>3</v>
      </c>
      <c r="D16" s="28">
        <v>312.48</v>
      </c>
      <c r="E16" s="31">
        <f t="shared" si="0"/>
        <v>502.81000000000006</v>
      </c>
      <c r="F16" s="7">
        <v>104.16</v>
      </c>
      <c r="G16" s="42"/>
      <c r="H16" s="18">
        <f t="shared" si="1"/>
        <v>0</v>
      </c>
      <c r="I16" s="7">
        <v>124.18</v>
      </c>
      <c r="J16" s="43">
        <f t="shared" si="2"/>
        <v>0</v>
      </c>
      <c r="K16" s="7"/>
      <c r="L16" s="7">
        <v>39.35</v>
      </c>
      <c r="M16" s="44">
        <f t="shared" si="3"/>
        <v>118.05000000000001</v>
      </c>
      <c r="N16" s="45"/>
      <c r="O16" s="24">
        <f t="shared" si="4"/>
        <v>0</v>
      </c>
      <c r="P16" s="24">
        <f t="shared" si="5"/>
        <v>0</v>
      </c>
    </row>
    <row r="17" spans="1:16" x14ac:dyDescent="0.35">
      <c r="A17" s="21" t="s">
        <v>19</v>
      </c>
      <c r="B17" s="26">
        <v>150.61000000000001</v>
      </c>
      <c r="C17" s="29">
        <v>3</v>
      </c>
      <c r="D17" s="28">
        <v>312.48</v>
      </c>
      <c r="E17" s="31">
        <f t="shared" si="0"/>
        <v>463.09000000000003</v>
      </c>
      <c r="F17" s="7">
        <v>104.16</v>
      </c>
      <c r="G17" s="42"/>
      <c r="H17" s="18">
        <f t="shared" si="1"/>
        <v>0</v>
      </c>
      <c r="I17" s="7">
        <v>124.18</v>
      </c>
      <c r="J17" s="43">
        <f t="shared" si="2"/>
        <v>0</v>
      </c>
      <c r="K17" s="7"/>
      <c r="L17" s="7">
        <v>39.35</v>
      </c>
      <c r="M17" s="44">
        <f t="shared" si="3"/>
        <v>118.05000000000001</v>
      </c>
      <c r="N17" s="45"/>
      <c r="O17" s="24">
        <f t="shared" si="4"/>
        <v>0</v>
      </c>
      <c r="P17" s="24">
        <f t="shared" si="5"/>
        <v>0</v>
      </c>
    </row>
    <row r="18" spans="1:16" x14ac:dyDescent="0.35">
      <c r="A18" s="20" t="s">
        <v>20</v>
      </c>
      <c r="B18" s="26">
        <v>158.35</v>
      </c>
      <c r="C18" s="27">
        <v>3</v>
      </c>
      <c r="D18" s="28">
        <v>312.48</v>
      </c>
      <c r="E18" s="31">
        <f t="shared" si="0"/>
        <v>470.83000000000004</v>
      </c>
      <c r="F18" s="7">
        <v>104.16</v>
      </c>
      <c r="G18" s="42"/>
      <c r="H18" s="18">
        <f t="shared" si="1"/>
        <v>0</v>
      </c>
      <c r="I18" s="7">
        <v>124.18</v>
      </c>
      <c r="J18" s="43">
        <f t="shared" si="2"/>
        <v>0</v>
      </c>
      <c r="K18" s="7"/>
      <c r="L18" s="7">
        <v>39.35</v>
      </c>
      <c r="M18" s="44">
        <f t="shared" si="3"/>
        <v>118.05000000000001</v>
      </c>
      <c r="N18" s="45"/>
      <c r="O18" s="24">
        <f t="shared" si="4"/>
        <v>0</v>
      </c>
      <c r="P18" s="24">
        <f t="shared" si="5"/>
        <v>0</v>
      </c>
    </row>
    <row r="19" spans="1:16" x14ac:dyDescent="0.35">
      <c r="A19" s="21" t="s">
        <v>21</v>
      </c>
      <c r="B19" s="26">
        <v>41.78</v>
      </c>
      <c r="C19" s="29">
        <v>2</v>
      </c>
      <c r="D19" s="28">
        <v>208.32</v>
      </c>
      <c r="E19" s="31">
        <f t="shared" si="0"/>
        <v>250.1</v>
      </c>
      <c r="F19" s="7">
        <v>104.16</v>
      </c>
      <c r="G19" s="42"/>
      <c r="H19" s="18">
        <f t="shared" si="1"/>
        <v>0</v>
      </c>
      <c r="I19" s="7">
        <v>124.18</v>
      </c>
      <c r="J19" s="43">
        <f t="shared" si="2"/>
        <v>0</v>
      </c>
      <c r="K19" s="7"/>
      <c r="L19" s="7">
        <v>39.35</v>
      </c>
      <c r="M19" s="44">
        <f t="shared" si="3"/>
        <v>78.7</v>
      </c>
      <c r="N19" s="45"/>
      <c r="O19" s="24">
        <f t="shared" si="4"/>
        <v>0</v>
      </c>
      <c r="P19" s="24">
        <f t="shared" si="5"/>
        <v>0</v>
      </c>
    </row>
    <row r="20" spans="1:16" x14ac:dyDescent="0.35">
      <c r="A20" s="20" t="s">
        <v>22</v>
      </c>
      <c r="B20" s="26">
        <v>30.95</v>
      </c>
      <c r="C20" s="27">
        <v>2</v>
      </c>
      <c r="D20" s="28">
        <v>208.32</v>
      </c>
      <c r="E20" s="31">
        <f t="shared" si="0"/>
        <v>239.26999999999998</v>
      </c>
      <c r="F20" s="7">
        <v>104.16</v>
      </c>
      <c r="G20" s="42"/>
      <c r="H20" s="18">
        <f t="shared" si="1"/>
        <v>0</v>
      </c>
      <c r="I20" s="7">
        <v>124.18</v>
      </c>
      <c r="J20" s="43">
        <f t="shared" si="2"/>
        <v>0</v>
      </c>
      <c r="K20" s="7"/>
      <c r="L20" s="7">
        <v>39.35</v>
      </c>
      <c r="M20" s="44">
        <f t="shared" si="3"/>
        <v>78.7</v>
      </c>
      <c r="N20" s="45"/>
      <c r="O20" s="24">
        <f t="shared" si="4"/>
        <v>0</v>
      </c>
      <c r="P20" s="24">
        <f t="shared" si="5"/>
        <v>0</v>
      </c>
    </row>
    <row r="21" spans="1:16" x14ac:dyDescent="0.35">
      <c r="A21" s="21" t="s">
        <v>23</v>
      </c>
      <c r="B21" s="26">
        <v>154.22</v>
      </c>
      <c r="C21" s="29">
        <v>3</v>
      </c>
      <c r="D21" s="28">
        <v>312.48</v>
      </c>
      <c r="E21" s="31">
        <f t="shared" si="0"/>
        <v>466.70000000000005</v>
      </c>
      <c r="F21" s="7">
        <v>104.16</v>
      </c>
      <c r="G21" s="42"/>
      <c r="H21" s="18">
        <f t="shared" si="1"/>
        <v>0</v>
      </c>
      <c r="I21" s="7">
        <v>124.18</v>
      </c>
      <c r="J21" s="43">
        <f t="shared" si="2"/>
        <v>0</v>
      </c>
      <c r="K21" s="7"/>
      <c r="L21" s="7">
        <v>39.35</v>
      </c>
      <c r="M21" s="44">
        <f t="shared" si="3"/>
        <v>118.05000000000001</v>
      </c>
      <c r="N21" s="45"/>
      <c r="O21" s="24">
        <f t="shared" si="4"/>
        <v>0</v>
      </c>
      <c r="P21" s="24">
        <f t="shared" si="5"/>
        <v>0</v>
      </c>
    </row>
    <row r="22" spans="1:16" x14ac:dyDescent="0.35">
      <c r="A22" s="20" t="s">
        <v>24</v>
      </c>
      <c r="B22" s="26">
        <v>323.39999999999998</v>
      </c>
      <c r="C22" s="27">
        <v>4</v>
      </c>
      <c r="D22" s="28">
        <v>416.64</v>
      </c>
      <c r="E22" s="31">
        <f t="shared" si="0"/>
        <v>740.04</v>
      </c>
      <c r="F22" s="7">
        <v>104.16</v>
      </c>
      <c r="G22" s="42"/>
      <c r="H22" s="18">
        <f t="shared" si="1"/>
        <v>0</v>
      </c>
      <c r="I22" s="7">
        <v>124.18</v>
      </c>
      <c r="J22" s="43">
        <f t="shared" si="2"/>
        <v>0</v>
      </c>
      <c r="K22" s="7"/>
      <c r="L22" s="7">
        <v>39.35</v>
      </c>
      <c r="M22" s="44">
        <f t="shared" si="3"/>
        <v>157.4</v>
      </c>
      <c r="N22" s="45"/>
      <c r="O22" s="24">
        <f t="shared" si="4"/>
        <v>0</v>
      </c>
      <c r="P22" s="24">
        <f t="shared" si="5"/>
        <v>0</v>
      </c>
    </row>
    <row r="23" spans="1:16" x14ac:dyDescent="0.35">
      <c r="A23" s="21" t="s">
        <v>25</v>
      </c>
      <c r="B23" s="26">
        <v>107.28</v>
      </c>
      <c r="C23" s="29">
        <v>3</v>
      </c>
      <c r="D23" s="28">
        <v>312.48</v>
      </c>
      <c r="E23" s="31">
        <f t="shared" si="0"/>
        <v>419.76</v>
      </c>
      <c r="F23" s="7">
        <v>104.16</v>
      </c>
      <c r="G23" s="42"/>
      <c r="H23" s="18">
        <f t="shared" si="1"/>
        <v>0</v>
      </c>
      <c r="I23" s="7">
        <v>124.18</v>
      </c>
      <c r="J23" s="43">
        <f t="shared" si="2"/>
        <v>0</v>
      </c>
      <c r="K23" s="7"/>
      <c r="L23" s="7">
        <v>39.35</v>
      </c>
      <c r="M23" s="44">
        <f t="shared" si="3"/>
        <v>118.05000000000001</v>
      </c>
      <c r="N23" s="45"/>
      <c r="O23" s="24">
        <f t="shared" si="4"/>
        <v>0</v>
      </c>
      <c r="P23" s="24">
        <f t="shared" si="5"/>
        <v>0</v>
      </c>
    </row>
    <row r="24" spans="1:16" x14ac:dyDescent="0.35">
      <c r="A24" s="20" t="s">
        <v>26</v>
      </c>
      <c r="B24" s="26">
        <v>404.89</v>
      </c>
      <c r="C24" s="27">
        <v>4</v>
      </c>
      <c r="D24" s="28">
        <v>416.64</v>
      </c>
      <c r="E24" s="31">
        <f t="shared" si="0"/>
        <v>821.53</v>
      </c>
      <c r="F24" s="7">
        <v>104.16</v>
      </c>
      <c r="G24" s="42"/>
      <c r="H24" s="18">
        <f t="shared" si="1"/>
        <v>0</v>
      </c>
      <c r="I24" s="7">
        <v>124.18</v>
      </c>
      <c r="J24" s="43">
        <f t="shared" si="2"/>
        <v>0</v>
      </c>
      <c r="K24" s="7"/>
      <c r="L24" s="7">
        <v>39.35</v>
      </c>
      <c r="M24" s="44">
        <f t="shared" si="3"/>
        <v>157.4</v>
      </c>
      <c r="N24" s="45"/>
      <c r="O24" s="24">
        <f t="shared" si="4"/>
        <v>0</v>
      </c>
      <c r="P24" s="24">
        <f t="shared" si="5"/>
        <v>0</v>
      </c>
    </row>
    <row r="25" spans="1:16" x14ac:dyDescent="0.35">
      <c r="A25" s="21" t="s">
        <v>27</v>
      </c>
      <c r="B25" s="26">
        <v>357.44</v>
      </c>
      <c r="C25" s="29">
        <v>4</v>
      </c>
      <c r="D25" s="28">
        <v>416.64</v>
      </c>
      <c r="E25" s="31">
        <f t="shared" si="0"/>
        <v>774.07999999999993</v>
      </c>
      <c r="F25" s="7">
        <v>104.16</v>
      </c>
      <c r="G25" s="42"/>
      <c r="H25" s="18">
        <f t="shared" si="1"/>
        <v>0</v>
      </c>
      <c r="I25" s="7">
        <v>124.18</v>
      </c>
      <c r="J25" s="43">
        <f t="shared" si="2"/>
        <v>0</v>
      </c>
      <c r="K25" s="7"/>
      <c r="L25" s="7">
        <v>39.35</v>
      </c>
      <c r="M25" s="44">
        <f t="shared" si="3"/>
        <v>157.4</v>
      </c>
      <c r="N25" s="45"/>
      <c r="O25" s="24">
        <f t="shared" si="4"/>
        <v>0</v>
      </c>
      <c r="P25" s="24">
        <f t="shared" si="5"/>
        <v>0</v>
      </c>
    </row>
    <row r="26" spans="1:16" x14ac:dyDescent="0.35">
      <c r="A26" s="22" t="s">
        <v>28</v>
      </c>
      <c r="B26" s="26">
        <v>157.32</v>
      </c>
      <c r="C26" s="30">
        <v>3</v>
      </c>
      <c r="D26" s="28">
        <v>312.48</v>
      </c>
      <c r="E26" s="31">
        <f t="shared" si="0"/>
        <v>469.8</v>
      </c>
      <c r="F26" s="7">
        <v>104.16</v>
      </c>
      <c r="G26" s="42"/>
      <c r="H26" s="18">
        <f t="shared" si="1"/>
        <v>0</v>
      </c>
      <c r="I26" s="7">
        <v>124.18</v>
      </c>
      <c r="J26" s="43">
        <f t="shared" si="2"/>
        <v>0</v>
      </c>
      <c r="K26" s="7"/>
      <c r="L26" s="7">
        <v>39.35</v>
      </c>
      <c r="M26" s="44">
        <f t="shared" si="3"/>
        <v>118.05000000000001</v>
      </c>
      <c r="N26" s="45"/>
      <c r="O26" s="24">
        <f t="shared" si="4"/>
        <v>0</v>
      </c>
      <c r="P26" s="24">
        <f t="shared" si="5"/>
        <v>0</v>
      </c>
    </row>
    <row r="27" spans="1:16" x14ac:dyDescent="0.35">
      <c r="A27" s="21" t="s">
        <v>29</v>
      </c>
      <c r="B27" s="26">
        <v>12.89</v>
      </c>
      <c r="C27" s="29">
        <v>1</v>
      </c>
      <c r="D27" s="28">
        <v>104.16</v>
      </c>
      <c r="E27" s="31">
        <f t="shared" si="0"/>
        <v>117.05</v>
      </c>
      <c r="F27" s="7">
        <v>104.16</v>
      </c>
      <c r="G27" s="42"/>
      <c r="H27" s="18">
        <f t="shared" si="1"/>
        <v>0</v>
      </c>
      <c r="I27" s="7">
        <v>124.18</v>
      </c>
      <c r="J27" s="43">
        <f t="shared" si="2"/>
        <v>0</v>
      </c>
      <c r="K27" s="7"/>
      <c r="L27" s="7">
        <v>39.35</v>
      </c>
      <c r="M27" s="44">
        <f t="shared" si="3"/>
        <v>39.35</v>
      </c>
      <c r="N27" s="45"/>
      <c r="O27" s="24">
        <f t="shared" si="4"/>
        <v>0</v>
      </c>
      <c r="P27" s="24">
        <f t="shared" si="5"/>
        <v>0</v>
      </c>
    </row>
    <row r="28" spans="1:16" x14ac:dyDescent="0.35">
      <c r="A28" s="20" t="s">
        <v>30</v>
      </c>
      <c r="B28" s="26">
        <v>72.73</v>
      </c>
      <c r="C28" s="27">
        <v>3</v>
      </c>
      <c r="D28" s="28">
        <v>312.48</v>
      </c>
      <c r="E28" s="31">
        <f t="shared" si="0"/>
        <v>385.21000000000004</v>
      </c>
      <c r="F28" s="7">
        <v>104.16</v>
      </c>
      <c r="G28" s="42"/>
      <c r="H28" s="18">
        <f t="shared" si="1"/>
        <v>0</v>
      </c>
      <c r="I28" s="7">
        <v>124.18</v>
      </c>
      <c r="J28" s="43">
        <f t="shared" si="2"/>
        <v>0</v>
      </c>
      <c r="K28" s="7"/>
      <c r="L28" s="7">
        <v>39.35</v>
      </c>
      <c r="M28" s="44">
        <f t="shared" si="3"/>
        <v>118.05000000000001</v>
      </c>
      <c r="N28" s="45"/>
      <c r="O28" s="24">
        <f t="shared" si="4"/>
        <v>0</v>
      </c>
      <c r="P28" s="24">
        <f t="shared" si="5"/>
        <v>0</v>
      </c>
    </row>
    <row r="29" spans="1:16" x14ac:dyDescent="0.35">
      <c r="A29" s="21" t="s">
        <v>31</v>
      </c>
      <c r="B29" s="26">
        <v>158.86000000000001</v>
      </c>
      <c r="C29" s="29">
        <v>3</v>
      </c>
      <c r="D29" s="28">
        <v>312.48</v>
      </c>
      <c r="E29" s="31">
        <f t="shared" si="0"/>
        <v>471.34000000000003</v>
      </c>
      <c r="F29" s="7">
        <v>104.16</v>
      </c>
      <c r="G29" s="42"/>
      <c r="H29" s="18">
        <f t="shared" si="1"/>
        <v>0</v>
      </c>
      <c r="I29" s="7">
        <v>124.18</v>
      </c>
      <c r="J29" s="43">
        <f t="shared" si="2"/>
        <v>0</v>
      </c>
      <c r="K29" s="7"/>
      <c r="L29" s="7">
        <v>39.35</v>
      </c>
      <c r="M29" s="44">
        <f t="shared" si="3"/>
        <v>118.05000000000001</v>
      </c>
      <c r="N29" s="45"/>
      <c r="O29" s="24">
        <f t="shared" si="4"/>
        <v>0</v>
      </c>
      <c r="P29" s="24">
        <f t="shared" si="5"/>
        <v>0</v>
      </c>
    </row>
    <row r="30" spans="1:16" x14ac:dyDescent="0.35">
      <c r="A30" s="23" t="s">
        <v>38</v>
      </c>
      <c r="B30" s="26">
        <v>37.65</v>
      </c>
      <c r="C30" s="27">
        <v>2</v>
      </c>
      <c r="D30" s="28">
        <v>208.32</v>
      </c>
      <c r="E30" s="31">
        <f t="shared" si="0"/>
        <v>245.97</v>
      </c>
      <c r="F30" s="7">
        <v>104.16</v>
      </c>
      <c r="G30" s="42"/>
      <c r="H30" s="18">
        <f t="shared" si="1"/>
        <v>0</v>
      </c>
      <c r="I30" s="7">
        <v>124.18</v>
      </c>
      <c r="J30" s="43">
        <f t="shared" si="2"/>
        <v>0</v>
      </c>
      <c r="K30" s="7"/>
      <c r="L30" s="7">
        <v>39.35</v>
      </c>
      <c r="M30" s="44">
        <f t="shared" si="3"/>
        <v>78.7</v>
      </c>
      <c r="N30" s="45"/>
      <c r="O30" s="24">
        <f t="shared" si="4"/>
        <v>0</v>
      </c>
      <c r="P30" s="24">
        <f t="shared" si="5"/>
        <v>0</v>
      </c>
    </row>
    <row r="31" spans="1:16" x14ac:dyDescent="0.35">
      <c r="A31" s="21" t="s">
        <v>32</v>
      </c>
      <c r="B31" s="26">
        <v>1010.95</v>
      </c>
      <c r="C31" s="29">
        <v>8</v>
      </c>
      <c r="D31" s="28">
        <v>833.28</v>
      </c>
      <c r="E31" s="31">
        <f t="shared" si="0"/>
        <v>1844.23</v>
      </c>
      <c r="F31" s="7">
        <v>104.16</v>
      </c>
      <c r="G31" s="42"/>
      <c r="H31" s="18">
        <f t="shared" si="1"/>
        <v>0</v>
      </c>
      <c r="I31" s="7">
        <v>124.18</v>
      </c>
      <c r="J31" s="43">
        <f t="shared" si="2"/>
        <v>0</v>
      </c>
      <c r="K31" s="7"/>
      <c r="L31" s="7">
        <v>39.35</v>
      </c>
      <c r="M31" s="44">
        <f t="shared" si="3"/>
        <v>314.8</v>
      </c>
      <c r="N31" s="45"/>
      <c r="O31" s="24">
        <f t="shared" si="4"/>
        <v>0</v>
      </c>
      <c r="P31" s="24">
        <f t="shared" si="5"/>
        <v>0</v>
      </c>
    </row>
    <row r="32" spans="1:16" x14ac:dyDescent="0.35">
      <c r="A32" s="20" t="s">
        <v>33</v>
      </c>
      <c r="B32" s="26">
        <v>67.05</v>
      </c>
      <c r="C32" s="27">
        <v>2</v>
      </c>
      <c r="D32" s="28">
        <v>208.32</v>
      </c>
      <c r="E32" s="31">
        <f t="shared" si="0"/>
        <v>275.37</v>
      </c>
      <c r="F32" s="7">
        <v>104.16</v>
      </c>
      <c r="G32" s="42"/>
      <c r="H32" s="18">
        <f t="shared" si="1"/>
        <v>0</v>
      </c>
      <c r="I32" s="7">
        <v>124.18</v>
      </c>
      <c r="J32" s="43">
        <f t="shared" si="2"/>
        <v>0</v>
      </c>
      <c r="K32" s="7"/>
      <c r="L32" s="7">
        <v>39.35</v>
      </c>
      <c r="M32" s="44">
        <f t="shared" si="3"/>
        <v>78.7</v>
      </c>
      <c r="N32" s="45"/>
      <c r="O32" s="24">
        <f t="shared" si="4"/>
        <v>0</v>
      </c>
      <c r="P32" s="24">
        <f t="shared" si="5"/>
        <v>0</v>
      </c>
    </row>
    <row r="33" spans="1:16" x14ac:dyDescent="0.35">
      <c r="A33" s="21" t="s">
        <v>34</v>
      </c>
      <c r="B33" s="26">
        <v>75.31</v>
      </c>
      <c r="C33" s="29">
        <v>2</v>
      </c>
      <c r="D33" s="28">
        <v>208.32</v>
      </c>
      <c r="E33" s="31">
        <f t="shared" si="0"/>
        <v>283.63</v>
      </c>
      <c r="F33" s="7">
        <v>104.16</v>
      </c>
      <c r="G33" s="42"/>
      <c r="H33" s="18">
        <f t="shared" si="1"/>
        <v>0</v>
      </c>
      <c r="I33" s="7">
        <v>124.18</v>
      </c>
      <c r="J33" s="43">
        <f t="shared" si="2"/>
        <v>0</v>
      </c>
      <c r="K33" s="7"/>
      <c r="L33" s="7">
        <v>39.35</v>
      </c>
      <c r="M33" s="44">
        <f t="shared" si="3"/>
        <v>78.7</v>
      </c>
      <c r="N33" s="45"/>
      <c r="O33" s="24">
        <f t="shared" si="4"/>
        <v>0</v>
      </c>
      <c r="P33" s="24">
        <f t="shared" si="5"/>
        <v>0</v>
      </c>
    </row>
    <row r="34" spans="1:16" x14ac:dyDescent="0.35">
      <c r="D34" s="2"/>
    </row>
  </sheetData>
  <pageMargins left="0.7" right="0.7" top="0.75" bottom="0.75" header="0.3" footer="0.3"/>
  <pageSetup paperSize="9" scale="4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Valdes</dc:creator>
  <cp:lastModifiedBy>Daniel Valdes</cp:lastModifiedBy>
  <cp:lastPrinted>2025-11-22T14:54:20Z</cp:lastPrinted>
  <dcterms:created xsi:type="dcterms:W3CDTF">2025-11-18T23:05:15Z</dcterms:created>
  <dcterms:modified xsi:type="dcterms:W3CDTF">2025-12-08T16:45:04Z</dcterms:modified>
</cp:coreProperties>
</file>